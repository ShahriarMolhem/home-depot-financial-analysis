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bf8f46d80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8d2cdbf62a14608"/>
    <x:sheet xmlns:r="http://schemas.openxmlformats.org/officeDocument/2006/relationships" name="SOURCE DATA" sheetId="2" r:id="R1badd3be99674bc6"/>
    <x:sheet xmlns:r="http://schemas.openxmlformats.org/officeDocument/2006/relationships" name="RATIO ANALYSIS" sheetId="3" r:id="Rae362c9b30094df2"/>
    <x:sheet xmlns:r="http://schemas.openxmlformats.org/officeDocument/2006/relationships" name="VALIDATION" sheetId="4" r:id="Rcb68e5e01b004ef3"/>
    <x:sheet xmlns:r="http://schemas.openxmlformats.org/officeDocument/2006/relationships" name="SOURCE TRACE" sheetId="5" r:id="Rd8ce19644c2c44cf"/>
    <x:sheet xmlns:r="http://schemas.openxmlformats.org/officeDocument/2006/relationships" name="CHARTS" sheetId="6" r:id="R77d3980fc0ec43a5"/>
    <x:sheet xmlns:r="http://schemas.openxmlformats.org/officeDocument/2006/relationships" name="DCF ASSUMPTIONS" sheetId="7" r:id="R52f5683d420048e4"/>
    <x:sheet xmlns:r="http://schemas.openxmlformats.org/officeDocument/2006/relationships" name="DCF MODEL" sheetId="8" r:id="R46e2fd6b9bfa4728"/>
    <x:sheet xmlns:r="http://schemas.openxmlformats.org/officeDocument/2006/relationships" name="SENSITIVITY" sheetId="9" r:id="R7f76edd2a36c432e"/>
    <x:sheet xmlns:r="http://schemas.openxmlformats.org/officeDocument/2006/relationships" name="DCF CHECKS" sheetId="10" r:id="Ra43f8f6c9bf7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–"/>
    <x:numFmt numFmtId="201" formatCode="0.00"/>
    <x:numFmt numFmtId="202" formatCode="0.0%;[Red](0.0%);–"/>
    <x:numFmt numFmtId="203" formatCode="0.0&quot;x&quot;;[Red](0.0&quot;x&quot;);–"/>
    <x:numFmt numFmtId="204" formatCode="#,##0.00;[Red](#,##0.00);-"/>
    <x:numFmt numFmtId="205" formatCode="0.0%;[Red](0.0%);-"/>
    <x:numFmt numFmtId="206" formatCode="$#,##0.00;[Red]($#,##0.00);-"/>
    <x:numFmt numFmtId="207" formatCode="#,##0.0;[Red](#,##0.0);-"/>
    <x:numFmt numFmtId="208" formatCode="0.000"/>
    <x:numFmt numFmtId="209" formatCode="0.000000;[Red](0.000000);-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4"/>
      <x:color rgb="FFFFFFFF"/>
      <x:name val="Carlito"/>
    </x:font>
    <x:font>
      <x:b/>
      <x:sz val="11"/>
      <x:color rgb="FF203B54"/>
      <x:name val="Carlito"/>
    </x:font>
    <x:font>
      <x:sz val="11"/>
      <x:color rgb="FF203B5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EF3F8"/>
      </x:patternFill>
    </x:fill>
    <x:fill>
      <x:patternFill patternType="solid">
        <x:fgColor rgb="FF24476C"/>
      </x:patternFill>
    </x:fill>
    <x:fill>
      <x:patternFill patternType="solid">
        <x:fgColor rgb="FF14283D"/>
      </x:patternFill>
    </x:fill>
    <x:fill>
      <x:patternFill patternType="solid">
        <x:fgColor rgb="FF203B54"/>
      </x:patternFill>
    </x:fill>
    <x:fill>
      <x:patternFill patternType="solid">
        <x:fgColor rgb="FFFFF0B3"/>
      </x:patternFill>
    </x:fill>
    <x:fill>
      <x:patternFill patternType="solid">
        <x:fgColor rgb="FFEAF0F5"/>
      </x:patternFill>
    </x:fill>
    <x:fill>
      <x:patternFill patternType="solid">
        <x:fgColor rgb="FFE2F3EE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5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206" fontId="10" fillId="8" borderId="0" xfId="0" applyNumberFormat="1" applyFont="1" applyFill="1" applyBorder="1"/>
    <x:xf numFmtId="207" fontId="10" fillId="8" borderId="0" xfId="0" applyNumberFormat="1" applyFont="1" applyFill="1" applyBorder="1"/>
    <x:xf numFmtId="207" fontId="0" fillId="0" borderId="0" xfId="0" applyNumberFormat="1" applyFont="1" applyFill="1" applyBorder="1"/>
    <x:xf numFmtId="205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11" fillId="7" borderId="0" xfId="0" applyNumberFormat="1" applyFont="1" applyFill="1" applyBorder="1"/>
    <x:xf numFmtId="205" fontId="0" fillId="6" borderId="0" xfId="0" applyNumberFormat="1" applyFont="1" applyFill="1" applyBorder="1"/>
    <x:xf numFmtId="205" fontId="3" fillId="6" borderId="0" xfId="0" applyNumberFormat="1" applyFont="1" applyFill="1" applyBorder="1"/>
    <x:xf numFmtId="206" fontId="0" fillId="0" borderId="0" xfId="0" applyNumberFormat="1" applyFont="1" applyFill="1" applyBorder="1"/>
    <x:xf numFmtId="206" fontId="0" fillId="9" borderId="0" xfId="0" applyNumberFormat="1" applyFont="1" applyFill="1" applyBorder="1"/>
    <x:xf numFmtId="206" fontId="10" fillId="9" borderId="0" xfId="0" applyNumberFormat="1" applyFont="1" applyFill="1" applyBorder="1"/>
    <x:xf numFmtId="0" fontId="11" fillId="8" borderId="0" xfId="0" applyNumberFormat="1" applyFont="1" applyFill="1" applyBorder="1"/>
    <x:xf numFmtId="209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b57c49a6d42ab" /><Relationship Type="http://schemas.openxmlformats.org/officeDocument/2006/relationships/theme" Target="/xl/theme/theme1.xml" Id="R296aaf857d6342c6" /><Relationship Type="http://schemas.openxmlformats.org/officeDocument/2006/relationships/sharedStrings" Target="/xl/sharedStrings.xml" Id="Re71ea05a8d994260" /><Relationship Type="http://schemas.openxmlformats.org/officeDocument/2006/relationships/worksheet" Target="/xl/worksheets/sheet1.xml" Id="Rf8d2cdbf62a14608" /><Relationship Type="http://schemas.openxmlformats.org/officeDocument/2006/relationships/worksheet" Target="/xl/worksheets/sheet2.xml" Id="R1badd3be99674bc6" /><Relationship Type="http://schemas.openxmlformats.org/officeDocument/2006/relationships/worksheet" Target="/xl/worksheets/sheet3.xml" Id="Rae362c9b30094df2" /><Relationship Type="http://schemas.openxmlformats.org/officeDocument/2006/relationships/worksheet" Target="/xl/worksheets/sheet4.xml" Id="Rcb68e5e01b004ef3" /><Relationship Type="http://schemas.openxmlformats.org/officeDocument/2006/relationships/worksheet" Target="/xl/worksheets/sheet5.xml" Id="Rd8ce19644c2c44cf" /><Relationship Type="http://schemas.openxmlformats.org/officeDocument/2006/relationships/worksheet" Target="/xl/worksheets/sheet6.xml" Id="R77d3980fc0ec43a5" /><Relationship Type="http://schemas.openxmlformats.org/officeDocument/2006/relationships/worksheet" Target="/xl/worksheets/sheet7.xml" Id="R52f5683d420048e4" /><Relationship Type="http://schemas.openxmlformats.org/officeDocument/2006/relationships/worksheet" Target="/xl/worksheets/sheet8.xml" Id="R46e2fd6b9bfa4728" /><Relationship Type="http://schemas.openxmlformats.org/officeDocument/2006/relationships/worksheet" Target="/xl/worksheets/sheet9.xml" Id="R7f76edd2a36c432e" /><Relationship Type="http://schemas.openxmlformats.org/officeDocument/2006/relationships/worksheet" Target="/xl/worksheets/sheet10.xml" Id="Ra43f8f6c9bf742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8d8c79cb5b4751" /><Relationship Type="http://schemas.openxmlformats.org/officeDocument/2006/relationships/chart" Target="/xl/drawings/charts/chart2.xml" Id="R385916113fe246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trend, $mm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'CHARTS'!$A$4:$A$5</c:f>
              <c:strCache>
                <c:ptCount val="0"/>
              </c:strCache>
            </c:strRef>
          </c:cat>
          <c:val>
            <c:numRef>
              <c:f>'CHARTS'!$B$4:$B$5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'CHARTS'!$A$4:$A$5</c:f>
              <c:strCache>
                <c:ptCount val="0"/>
              </c:strCache>
            </c:strRef>
          </c:cat>
          <c:val>
            <c:numRef>
              <c:f>'CHARTS'!$C$4:$C$5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'CHARTS'!$A$4:$A$5</c:f>
              <c:strCache>
                <c:ptCount val="0"/>
              </c:strCache>
            </c:strRef>
          </c:cat>
          <c:val>
            <c:numRef>
              <c:f>'CHARTS'!$D$4:$D$5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'CHARTS'!$A$4:$A$5</c:f>
              <c:strCache>
                <c:ptCount val="0"/>
              </c:strCache>
            </c:strRef>
          </c:cat>
          <c:val>
            <c:numRef>
              <c:f>'CHARTS'!$E$4:$E$5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'CHARTS'!$A$4:$A$5</c:f>
              <c:strCache>
                <c:ptCount val="0"/>
              </c:strCache>
            </c:strRef>
          </c:cat>
          <c:val>
            <c:numRef>
              <c:f>'CHARTS'!$F$4:$F$5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income and cash flow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'CHARTS'!$A$28:$A$30</c:f>
              <c:strCache>
                <c:ptCount val="0"/>
              </c:strCache>
            </c:strRef>
          </c:cat>
          <c:val>
            <c:numRef>
              <c:f>'CHARTS'!$B$28:$B$30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'CHARTS'!$A$28:$A$30</c:f>
              <c:strCache>
                <c:ptCount val="0"/>
              </c:strCache>
            </c:strRef>
          </c:cat>
          <c:val>
            <c:numRef>
              <c:f>'CHARTS'!$C$28:$C$30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'CHARTS'!$A$28:$A$30</c:f>
              <c:strCache>
                <c:ptCount val="0"/>
              </c:strCache>
            </c:strRef>
          </c:cat>
          <c:val>
            <c:numRef>
              <c:f>'CHARTS'!$D$28:$D$30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'CHARTS'!$A$28:$A$30</c:f>
              <c:strCache>
                <c:ptCount val="0"/>
              </c:strCache>
            </c:strRef>
          </c:cat>
          <c:val>
            <c:numRef>
              <c:f>'CHARTS'!$E$28:$E$30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'CHARTS'!$A$28:$A$30</c:f>
              <c:strCache>
                <c:ptCount val="0"/>
              </c:strCache>
            </c:strRef>
          </c:cat>
          <c:val>
            <c:numRef>
              <c:f>'CHARTS'!$F$28:$F$30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8d8c79cb5b475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5916113fe246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703a63f48664c86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69" hidden="0" customWidth="1"/>
  </x:cols>
  <x:sheetData>
    <x:row r="1">
      <x:c r="A1" s="4" t="str">
        <x:v>THE HOME DEPOT  |  HISTORICAL FINANCIAL ANALYSIS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4">
      <x:c r="A4" s="9" t="str">
        <x:v>AUTHOR</x:v>
      </x:c>
      <x:c r="B4" t="str">
        <x:v>Shahriar Molhem</x:v>
      </x:c>
    </x:row>
    <x:row r="5">
      <x:c r="A5" s="9" t="str">
        <x:v>PROGRAM</x:v>
      </x:c>
      <x:c r="B5" t="str">
        <x:v>BBA Finance | University of Georgia (Terry College)</x:v>
      </x:c>
    </x:row>
    <x:row r="6">
      <x:c r="A6" s="9" t="str">
        <x:v>PROJECT TYPE</x:v>
      </x:c>
      <x:c r="B6" t="str">
        <x:v>Independent undergraduate finance portfolio</x:v>
      </x:c>
    </x:row>
    <x:row r="7">
      <x:c r="A7" s="9" t="str">
        <x:v>STUDY PERIOD</x:v>
      </x:c>
      <x:c r="B7" t="str">
        <x:v>FY2021 to FY2025 (year labels, not calendar years)</x:v>
      </x:c>
    </x:row>
    <x:row r="8">
      <x:c r="A8" s="9" t="str">
        <x:v>AS OF</x:v>
      </x:c>
      <x:c r="B8" t="str">
        <x:v>DCF-ready historical financial statement model, FY2021–FY2025</x:v>
      </x:c>
    </x:row>
    <x:row r="9">
      <x:c r="A9" s="9" t="str">
        <x:v>SCOPE</x:v>
      </x:c>
      <x:c r="B9" t="str">
        <x:v>Historical analysis + illustrative FY2026–FY2030 FCFF DCF</x:v>
      </x:c>
    </x:row>
    <x:row r="10">
      <x:c r="A10" s="9" t="str">
        <x:v>DATA UNITS</x:v>
      </x:c>
      <x:c r="B10" t="str">
        <x:v>USD millions unless otherwise noted</x:v>
      </x:c>
    </x:row>
    <x:row r="11">
      <x:c r="A11" s="9" t="str">
        <x:v>SOURCE POLICY</x:v>
      </x:c>
      <x:c r="B11" t="str">
        <x:v>Reported amounts are from linked SEC Forms 10-K</x:v>
      </x:c>
    </x:row>
    <x:row r="12">
      <x:c r="A12" s="9" t="str">
        <x:v>MODEL POLICY</x:v>
      </x:c>
      <x:c r="B12" t="str">
        <x:v>Blue: reported inputs | Green: linked formulas | Black: same-sheet formulas</x:v>
      </x:c>
    </x:row>
    <x:row r="13">
      <x:c r="A13" s="9" t="str">
        <x:v>NEXT PHASE</x:v>
      </x:c>
      <x:c r="B13" t="str">
        <x:v>Valuation is an assumption-driven educational case, not a stock target</x:v>
      </x:c>
    </x:row>
    <x:row r="14">
      <x:c r="A14" s="9" t="str">
        <x:v>IMPORTANT</x:v>
      </x:c>
      <x:c r="B14" t="str">
        <x:v>FY2024 had 53 weeks; other years in this series had 52 weeks</x:v>
      </x:c>
    </x:row>
    <x:row r="16" ht="24" customHeight="1">
      <x:c r="A16" s="13" t="str">
        <x:v>LIMITATION</x:v>
      </x:c>
      <x:c r="B16" s="13"/>
      <x:c r="C16" s="13"/>
      <x:c r="D16" s="13"/>
      <x:c r="E16" s="13"/>
      <x:c r="F16" s="13"/>
      <x:c r="G16" s="13"/>
    </x:row>
    <x:row r="17" ht="24" customHeight="1">
      <x:c r="A17" s="16" t="str">
        <x:v>Historical financial statement analysis, not an audit, certification, investment recommendation or issuer guidance. No forward-looking valuation is included in this version.</x:v>
      </x:c>
      <x:c r="B17" s="16" t="str">
        <x:v>Five-year FCFF DCF appended in current release; public distribution requires source and scenario review</x:v>
      </x:c>
      <x:c r="C17" s="16"/>
      <x:c r="D17" s="16"/>
      <x:c r="E17" s="16"/>
      <x:c r="F17" s="16"/>
      <x:c r="G17" s="16"/>
    </x:row>
    <x:row r="18" ht="24" customHeight="1">
      <x:c r="A18" s="16"/>
      <x:c r="B18" s="16"/>
      <x:c r="C18" s="16"/>
      <x:c r="D18" s="16"/>
      <x:c r="E18" s="16"/>
      <x:c r="F18" s="16"/>
      <x:c r="G18" s="16"/>
    </x:row>
    <x:row r="19" ht="24" customHeight="1">
      <x:c r="A19" s="16"/>
      <x:c r="B19" s="16"/>
      <x:c r="C19" s="16"/>
      <x:c r="D19" s="16"/>
      <x:c r="E19" s="16"/>
      <x:c r="F19" s="16"/>
      <x:c r="G19" s="16"/>
    </x:row>
    <x:row r="21" ht="24" customHeight="1">
      <x:c r="A21" s="13" t="str">
        <x:v>WORKBOOK NAVIGATION</x:v>
      </x:c>
      <x:c r="B21" s="13"/>
      <x:c r="C21" s="13"/>
      <x:c r="D21" s="13"/>
      <x:c r="E21" s="13"/>
      <x:c r="F21" s="13"/>
      <x:c r="G21" s="13"/>
    </x:row>
    <x:row r="22">
      <x:c r="A22" s="18" t="str">
        <x:v>SOURCE DATA</x:v>
      </x:c>
      <x:c r="B22" t="str">
        <x:v>Historical SEC line items, hardcoded and cited by fiscal year</x:v>
      </x:c>
    </x:row>
    <x:row r="23">
      <x:c r="A23" s="18" t="str">
        <x:v>RATIO ANALYSIS</x:v>
      </x:c>
      <x:c r="B23" t="str">
        <x:v>All performance metrics are live Excel formulas</x:v>
      </x:c>
    </x:row>
    <x:row r="24">
      <x:c r="A24" s="18" t="str">
        <x:v>VALIDATION</x:v>
      </x:c>
      <x:c r="B24" t="str">
        <x:v>Six checks for every year; 0 = reconciled</x:v>
      </x:c>
    </x:row>
    <x:row r="25">
      <x:c r="A25" s="18" t="str">
        <x:v>SOURCE TRACE</x:v>
      </x:c>
      <x:c r="B25" t="str">
        <x:v>Detailed per-input statement and URL citations</x:v>
      </x:c>
    </x:row>
    <x:row r="26">
      <x:c r="A26" s="18" t="str">
        <x:v>CHARTS</x:v>
      </x:c>
      <x:c r="B26" t="str">
        <x:v>Charts driven by calculated model metrics</x:v>
      </x:c>
    </x:row>
    <x:row r="27">
      <x:c r="A27" t="str">
        <x:v>DCF ASSUMPTIONS</x:v>
      </x:c>
      <x:c r="B27" t="str">
        <x:v>Reported FY2025 baselines vs student forecast assumptions</x:v>
      </x:c>
    </x:row>
    <x:row r="28">
      <x:c r="A28" t="str">
        <x:v>DCF MODEL</x:v>
      </x:c>
      <x:c r="B28" t="str">
        <x:v>Projected unlevered FCFF, terminal value, equity bridge</x:v>
      </x:c>
    </x:row>
    <x:row r="29">
      <x:c r="A29" t="str">
        <x:v>SENSITIVITY</x:v>
      </x:c>
      <x:c r="B29" t="str">
        <x:v>WACC vs terminal FCFF growth valuation sensitivity</x:v>
      </x:c>
    </x:row>
    <x:row r="30">
      <x:c r="A30" t="str">
        <x:v>DCF CHECKS</x:v>
      </x:c>
      <x:c r="B30" t="str">
        <x:v>Model formula checks and guardrails</x:v>
      </x:c>
    </x:row>
    <x:row r="31">
      <x:c r="A31" t="str">
        <x:v>VALUATION BASIS</x:v>
      </x:c>
      <x:c r="B31" t="str">
        <x:v>FY2025 year-end reported balances; later interim filings excluded</x:v>
      </x:c>
    </x:row>
    <x:row r="32">
      <x:c r="A32" t="str">
        <x:v>MODEL INTERPRETATION</x:v>
      </x:c>
      <x:c r="B32" t="str">
        <x:v>Not audited; not an investment recommendation</x:v>
      </x:c>
    </x:row>
    <x:row r="33">
      <x:c r="A33" t="str">
        <x:v>PROJECT STATUS</x:v>
      </x:c>
      <x:c r="B33" t="str">
        <x:v>Illustrative valuation completed; owner should review before publishing</x:v>
      </x:c>
    </x:row>
  </x:sheetData>
  <x:mergeCells>
    <x:mergeCell ref="A1:G2"/>
    <x:mergeCell ref="A17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" hidden="0" customWidth="1"/>
    <x:col min="8" max="8" width="20" hidden="0" customWidth="1"/>
    <x:col min="9" max="9" width="25" hidden="0" customWidth="1"/>
    <x:col min="10" max="10" width="49" hidden="0" customWidth="1"/>
  </x:cols>
  <x:sheetData>
    <x:row r="1">
      <x:c r="A1" s="20" t="str">
        <x:v>REPORTED FINANCIAL STATEMENT DATA  |  USD MILLIONS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 ht="24" customHeight="1">
      <x:c r="A4" s="13" t="str">
        <x:v>Reported line item</x:v>
      </x:c>
      <x:c r="B4" s="13" t="n">
        <x:v>2021</x:v>
      </x:c>
      <x:c r="C4" s="13" t="n">
        <x:v>2022</x:v>
      </x:c>
      <x:c r="D4" s="13" t="n">
        <x:v>2023</x:v>
      </x:c>
      <x:c r="E4" s="13" t="n">
        <x:v>2024</x:v>
      </x:c>
      <x:c r="F4" s="13" t="n">
        <x:v>2025</x:v>
      </x:c>
      <x:c r="G4" s="13" t="str">
        <x:v>Statement</x:v>
      </x:c>
      <x:c r="H4" s="13" t="str">
        <x:v>Original units</x:v>
      </x:c>
      <x:c r="I4" s="13" t="str">
        <x:v>FY2020 opening metric</x:v>
      </x:c>
      <x:c r="J4" s="13" t="str">
        <x:v>USD millions</x:v>
      </x:c>
    </x:row>
    <x:row r="5" ht="22" customHeight="1">
      <x:c r="A5" s="23" t="str">
        <x:v>INCOME STATEMENT</x:v>
      </x:c>
      <x:c r="B5" s="23"/>
      <x:c r="C5" s="23"/>
      <x:c r="D5" s="23"/>
      <x:c r="E5" s="23"/>
      <x:c r="F5" s="23"/>
      <x:c r="G5" s="23"/>
      <x:c r="H5" s="23"/>
      <x:c r="I5" t="str">
        <x:v>Inventory</x:v>
      </x:c>
      <x:c r="J5" s="26" t="n">
        <x:v>16627</x:v>
      </x:c>
    </x:row>
    <x:row r="6">
      <x:c r="A6" t="str">
        <x:v>Sales</x:v>
      </x:c>
      <x:c r="B6" s="28" t="n">
        <x:v>151157</x:v>
      </x:c>
      <x:c r="C6" s="28" t="n">
        <x:v>157403</x:v>
      </x:c>
      <x:c r="D6" s="28" t="n">
        <x:v>152669</x:v>
      </x:c>
      <x:c r="E6" s="28" t="n">
        <x:v>159514</x:v>
      </x:c>
      <x:c r="F6" s="28" t="n">
        <x:v>164683</x:v>
      </x:c>
      <x:c r="G6" t="str">
        <x:v>Income</x:v>
      </x:c>
      <x:c r="H6" t="str">
        <x:v>USD millions</x:v>
      </x:c>
      <x:c r="I6" t="str">
        <x:v>Total assets</x:v>
      </x:c>
      <x:c r="J6" s="26" t="n">
        <x:v>70581</x:v>
      </x:c>
    </x:row>
    <x:row r="7">
      <x:c r="A7" t="str">
        <x:v>COGS</x:v>
      </x:c>
      <x:c r="B7" s="28" t="n">
        <x:v>100325</x:v>
      </x:c>
      <x:c r="C7" s="28" t="n">
        <x:v>104625</x:v>
      </x:c>
      <x:c r="D7" s="28" t="n">
        <x:v>101709</x:v>
      </x:c>
      <x:c r="E7" s="28" t="n">
        <x:v>106206</x:v>
      </x:c>
      <x:c r="F7" s="28" t="n">
        <x:v>109818</x:v>
      </x:c>
      <x:c r="G7" t="str">
        <x:v>Income</x:v>
      </x:c>
      <x:c r="H7" t="str">
        <x:v>USD millions</x:v>
      </x:c>
      <x:c r="I7" t="str">
        <x:v>Source</x:v>
      </x:c>
      <x:c r="J7" t="str">
        <x:v>FY2021 Form 10-K balance sheet (January 31, 2021)</x:v>
      </x:c>
    </x:row>
    <x:row r="8">
      <x:c r="A8" t="str">
        <x:v>Gross profit</x:v>
      </x:c>
      <x:c r="B8" s="28" t="n">
        <x:v>50832</x:v>
      </x:c>
      <x:c r="C8" s="28" t="n">
        <x:v>52778</x:v>
      </x:c>
      <x:c r="D8" s="28" t="n">
        <x:v>50960</x:v>
      </x:c>
      <x:c r="E8" s="28" t="n">
        <x:v>53308</x:v>
      </x:c>
      <x:c r="F8" s="28" t="n">
        <x:v>54865</x:v>
      </x:c>
      <x:c r="G8" t="str">
        <x:v>Income</x:v>
      </x:c>
      <x:c r="H8" t="str">
        <x:v>USD millions</x:v>
      </x:c>
    </x:row>
    <x:row r="9">
      <x:c r="A9" t="str">
        <x:v>SG&amp;A</x:v>
      </x:c>
      <x:c r="B9" s="28" t="n">
        <x:v>25406</x:v>
      </x:c>
      <x:c r="C9" s="28" t="n">
        <x:v>26284</x:v>
      </x:c>
      <x:c r="D9" s="28" t="n">
        <x:v>26598</x:v>
      </x:c>
      <x:c r="E9" s="28" t="n">
        <x:v>28748</x:v>
      </x:c>
      <x:c r="F9" s="28" t="n">
        <x:v>30702</x:v>
      </x:c>
      <x:c r="G9" t="str">
        <x:v>Income</x:v>
      </x:c>
      <x:c r="H9" t="str">
        <x:v>USD millions</x:v>
      </x:c>
    </x:row>
    <x:row r="10">
      <x:c r="A10" t="str">
        <x:v>Income statement D&amp;A</x:v>
      </x:c>
      <x:c r="B10" s="28" t="n">
        <x:v>2386</x:v>
      </x:c>
      <x:c r="C10" s="28" t="n">
        <x:v>2455</x:v>
      </x:c>
      <x:c r="D10" s="28" t="n">
        <x:v>2673</x:v>
      </x:c>
      <x:c r="E10" s="28" t="n">
        <x:v>3034</x:v>
      </x:c>
      <x:c r="F10" s="28" t="n">
        <x:v>3273</x:v>
      </x:c>
      <x:c r="G10" t="str">
        <x:v>Income</x:v>
      </x:c>
      <x:c r="H10" t="str">
        <x:v>USD millions</x:v>
      </x:c>
    </x:row>
    <x:row r="11">
      <x:c r="A11" t="str">
        <x:v>Operating income</x:v>
      </x:c>
      <x:c r="B11" s="28" t="n">
        <x:v>23040</x:v>
      </x:c>
      <x:c r="C11" s="28" t="n">
        <x:v>24039</x:v>
      </x:c>
      <x:c r="D11" s="28" t="n">
        <x:v>21689</x:v>
      </x:c>
      <x:c r="E11" s="28" t="n">
        <x:v>21526</x:v>
      </x:c>
      <x:c r="F11" s="28" t="n">
        <x:v>20890</x:v>
      </x:c>
      <x:c r="G11" t="str">
        <x:v>Income</x:v>
      </x:c>
      <x:c r="H11" t="str">
        <x:v>USD millions</x:v>
      </x:c>
    </x:row>
    <x:row r="12">
      <x:c r="A12" t="str">
        <x:v>Net interest and other</x:v>
      </x:c>
      <x:c r="B12" s="28" t="n">
        <x:v>1303</x:v>
      </x:c>
      <x:c r="C12" s="28" t="n">
        <x:v>1562</x:v>
      </x:c>
      <x:c r="D12" s="28" t="n">
        <x:v>1765</x:v>
      </x:c>
      <x:c r="E12" s="28" t="n">
        <x:v>2120</x:v>
      </x:c>
      <x:c r="F12" s="28" t="n">
        <x:v>2288</x:v>
      </x:c>
      <x:c r="G12" t="str">
        <x:v>Income</x:v>
      </x:c>
      <x:c r="H12" t="str">
        <x:v>USD millions</x:v>
      </x:c>
    </x:row>
    <x:row r="13">
      <x:c r="A13" t="str">
        <x:v>Pretax income</x:v>
      </x:c>
      <x:c r="B13" s="28" t="n">
        <x:v>21737</x:v>
      </x:c>
      <x:c r="C13" s="28" t="n">
        <x:v>22477</x:v>
      </x:c>
      <x:c r="D13" s="28" t="n">
        <x:v>19924</x:v>
      </x:c>
      <x:c r="E13" s="28" t="n">
        <x:v>19406</x:v>
      </x:c>
      <x:c r="F13" s="28" t="n">
        <x:v>18602</x:v>
      </x:c>
      <x:c r="G13" t="str">
        <x:v>Income</x:v>
      </x:c>
      <x:c r="H13" t="str">
        <x:v>USD millions</x:v>
      </x:c>
    </x:row>
    <x:row r="14">
      <x:c r="A14" t="str">
        <x:v>Income tax expense</x:v>
      </x:c>
      <x:c r="B14" s="28" t="n">
        <x:v>5304</x:v>
      </x:c>
      <x:c r="C14" s="28" t="n">
        <x:v>5372</x:v>
      </x:c>
      <x:c r="D14" s="28" t="n">
        <x:v>4781</x:v>
      </x:c>
      <x:c r="E14" s="28" t="n">
        <x:v>4600</x:v>
      </x:c>
      <x:c r="F14" s="28" t="n">
        <x:v>4446</x:v>
      </x:c>
      <x:c r="G14" t="str">
        <x:v>Income</x:v>
      </x:c>
      <x:c r="H14" t="str">
        <x:v>USD millions</x:v>
      </x:c>
    </x:row>
    <x:row r="15">
      <x:c r="A15" t="str">
        <x:v>Net income</x:v>
      </x:c>
      <x:c r="B15" s="28" t="n">
        <x:v>16433</x:v>
      </x:c>
      <x:c r="C15" s="28" t="n">
        <x:v>17105</x:v>
      </x:c>
      <x:c r="D15" s="28" t="n">
        <x:v>15143</x:v>
      </x:c>
      <x:c r="E15" s="28" t="n">
        <x:v>14806</x:v>
      </x:c>
      <x:c r="F15" s="28" t="n">
        <x:v>14156</x:v>
      </x:c>
      <x:c r="G15" t="str">
        <x:v>Income</x:v>
      </x:c>
      <x:c r="H15" t="str">
        <x:v>USD millions</x:v>
      </x:c>
    </x:row>
    <x:row r="16">
      <x:c r="A16" t="str">
        <x:v>Diluted weighted-average shares</x:v>
      </x:c>
      <x:c r="B16" s="28" t="n">
        <x:v>1058</x:v>
      </x:c>
      <x:c r="C16" s="28" t="n">
        <x:v>1025</x:v>
      </x:c>
      <x:c r="D16" s="28" t="n">
        <x:v>1002</x:v>
      </x:c>
      <x:c r="E16" s="28" t="n">
        <x:v>993</x:v>
      </x:c>
      <x:c r="F16" s="28" t="n">
        <x:v>995</x:v>
      </x:c>
      <x:c r="G16" t="str">
        <x:v>Income</x:v>
      </x:c>
      <x:c r="H16" t="str">
        <x:v>Million shares</x:v>
      </x:c>
    </x:row>
    <x:row r="17">
      <x:c r="A17" t="str">
        <x:v>Diluted EPS</x:v>
      </x:c>
      <x:c r="B17" s="30" t="n">
        <x:v>15.53</x:v>
      </x:c>
      <x:c r="C17" s="30" t="n">
        <x:v>16.69</x:v>
      </x:c>
      <x:c r="D17" s="30" t="n">
        <x:v>15.11</x:v>
      </x:c>
      <x:c r="E17" s="30" t="n">
        <x:v>14.91</x:v>
      </x:c>
      <x:c r="F17" s="30" t="n">
        <x:v>14.23</x:v>
      </x:c>
      <x:c r="G17" t="str">
        <x:v>Income</x:v>
      </x:c>
      <x:c r="H17" t="str">
        <x:v>USD per share</x:v>
      </x:c>
    </x:row>
    <x:row r="19" ht="22" customHeight="1">
      <x:c r="A19" s="23" t="str">
        <x:v>BALANCE SHEET</x:v>
      </x:c>
      <x:c r="B19" s="23"/>
      <x:c r="C19" s="23"/>
      <x:c r="D19" s="23"/>
      <x:c r="E19" s="23"/>
      <x:c r="F19" s="23"/>
      <x:c r="G19" s="23"/>
      <x:c r="H19" s="23"/>
    </x:row>
    <x:row r="20">
      <x:c r="A20" t="str">
        <x:v>Cash</x:v>
      </x:c>
      <x:c r="B20" s="28" t="n">
        <x:v>2343</x:v>
      </x:c>
      <x:c r="C20" s="28" t="n">
        <x:v>2757</x:v>
      </x:c>
      <x:c r="D20" s="28" t="n">
        <x:v>3760</x:v>
      </x:c>
      <x:c r="E20" s="28" t="n">
        <x:v>1659</x:v>
      </x:c>
      <x:c r="F20" s="28" t="n">
        <x:v>1389</x:v>
      </x:c>
      <x:c r="G20" t="str">
        <x:v>Balance Sheet</x:v>
      </x:c>
      <x:c r="H20" t="str">
        <x:v>USD millions</x:v>
      </x:c>
    </x:row>
    <x:row r="21">
      <x:c r="A21" t="str">
        <x:v>Receivables</x:v>
      </x:c>
      <x:c r="B21" s="28" t="n">
        <x:v>3426</x:v>
      </x:c>
      <x:c r="C21" s="28" t="n">
        <x:v>3317</x:v>
      </x:c>
      <x:c r="D21" s="28" t="n">
        <x:v>3328</x:v>
      </x:c>
      <x:c r="E21" s="28" t="n">
        <x:v>4903</x:v>
      </x:c>
      <x:c r="F21" s="28" t="n">
        <x:v>5597</x:v>
      </x:c>
      <x:c r="G21" t="str">
        <x:v>Balance Sheet</x:v>
      </x:c>
      <x:c r="H21" t="str">
        <x:v>USD millions</x:v>
      </x:c>
    </x:row>
    <x:row r="22">
      <x:c r="A22" t="str">
        <x:v>Inventory</x:v>
      </x:c>
      <x:c r="B22" s="28" t="n">
        <x:v>22068</x:v>
      </x:c>
      <x:c r="C22" s="28" t="n">
        <x:v>24886</x:v>
      </x:c>
      <x:c r="D22" s="28" t="n">
        <x:v>20976</x:v>
      </x:c>
      <x:c r="E22" s="28" t="n">
        <x:v>23451</x:v>
      </x:c>
      <x:c r="F22" s="28" t="n">
        <x:v>25817</x:v>
      </x:c>
      <x:c r="G22" t="str">
        <x:v>Balance Sheet</x:v>
      </x:c>
      <x:c r="H22" t="str">
        <x:v>USD millions</x:v>
      </x:c>
    </x:row>
    <x:row r="23">
      <x:c r="A23" t="str">
        <x:v>Other current assets</x:v>
      </x:c>
      <x:c r="B23" s="28" t="n">
        <x:v>1218</x:v>
      </x:c>
      <x:c r="C23" s="28" t="n">
        <x:v>1511</x:v>
      </x:c>
      <x:c r="D23" s="28" t="n">
        <x:v>1711</x:v>
      </x:c>
      <x:c r="E23" s="28" t="n">
        <x:v>1670</x:v>
      </x:c>
      <x:c r="F23" s="28" t="n">
        <x:v>1588</x:v>
      </x:c>
      <x:c r="G23" t="str">
        <x:v>Balance Sheet</x:v>
      </x:c>
      <x:c r="H23" t="str">
        <x:v>USD millions</x:v>
      </x:c>
    </x:row>
    <x:row r="24">
      <x:c r="A24" t="str">
        <x:v>Current assets</x:v>
      </x:c>
      <x:c r="B24" s="28" t="n">
        <x:v>29055</x:v>
      </x:c>
      <x:c r="C24" s="28" t="n">
        <x:v>32471</x:v>
      </x:c>
      <x:c r="D24" s="28" t="n">
        <x:v>29775</x:v>
      </x:c>
      <x:c r="E24" s="28" t="n">
        <x:v>31683</x:v>
      </x:c>
      <x:c r="F24" s="28" t="n">
        <x:v>34391</x:v>
      </x:c>
      <x:c r="G24" t="str">
        <x:v>Balance Sheet</x:v>
      </x:c>
      <x:c r="H24" t="str">
        <x:v>USD millions</x:v>
      </x:c>
    </x:row>
    <x:row r="25">
      <x:c r="A25" t="str">
        <x:v>Total assets</x:v>
      </x:c>
      <x:c r="B25" s="28" t="n">
        <x:v>71876</x:v>
      </x:c>
      <x:c r="C25" s="28" t="n">
        <x:v>76445</x:v>
      </x:c>
      <x:c r="D25" s="28" t="n">
        <x:v>76530</x:v>
      </x:c>
      <x:c r="E25" s="28" t="n">
        <x:v>96119</x:v>
      </x:c>
      <x:c r="F25" s="28" t="n">
        <x:v>105095</x:v>
      </x:c>
      <x:c r="G25" t="str">
        <x:v>Balance Sheet</x:v>
      </x:c>
      <x:c r="H25" t="str">
        <x:v>USD millions</x:v>
      </x:c>
    </x:row>
    <x:row r="26">
      <x:c r="A26" t="str">
        <x:v>Accounts payable</x:v>
      </x:c>
      <x:c r="B26" s="28" t="n">
        <x:v>13462</x:v>
      </x:c>
      <x:c r="C26" s="28" t="n">
        <x:v>11443</x:v>
      </x:c>
      <x:c r="D26" s="28" t="n">
        <x:v>10037</x:v>
      </x:c>
      <x:c r="E26" s="28" t="n">
        <x:v>11938</x:v>
      </x:c>
      <x:c r="F26" s="28" t="n">
        <x:v>11491</x:v>
      </x:c>
      <x:c r="G26" t="str">
        <x:v>Balance Sheet</x:v>
      </x:c>
      <x:c r="H26" t="str">
        <x:v>USD millions</x:v>
      </x:c>
    </x:row>
    <x:row r="27">
      <x:c r="A27" t="str">
        <x:v>Short-term debt</x:v>
      </x:c>
      <x:c r="B27" s="28" t="n">
        <x:v>1035</x:v>
      </x:c>
      <x:c r="C27" s="28" t="n">
        <x:v>0</x:v>
      </x:c>
      <x:c r="D27" s="28" t="n">
        <x:v>0</x:v>
      </x:c>
      <x:c r="E27" s="28" t="n">
        <x:v>316</x:v>
      </x:c>
      <x:c r="F27" s="28" t="n">
        <x:v>4464</x:v>
      </x:c>
      <x:c r="G27" t="str">
        <x:v>Balance Sheet</x:v>
      </x:c>
      <x:c r="H27" t="str">
        <x:v>USD millions</x:v>
      </x:c>
    </x:row>
    <x:row r="28">
      <x:c r="A28" t="str">
        <x:v>Current maturities of long-term debt</x:v>
      </x:c>
      <x:c r="B28" s="28" t="n">
        <x:v>2447</x:v>
      </x:c>
      <x:c r="C28" s="28" t="n">
        <x:v>1231</x:v>
      </x:c>
      <x:c r="D28" s="28" t="n">
        <x:v>1368</x:v>
      </x:c>
      <x:c r="E28" s="28" t="n">
        <x:v>4582</x:v>
      </x:c>
      <x:c r="F28" s="28" t="n">
        <x:v>4967</x:v>
      </x:c>
      <x:c r="G28" t="str">
        <x:v>Balance Sheet</x:v>
      </x:c>
      <x:c r="H28" t="str">
        <x:v>USD millions</x:v>
      </x:c>
    </x:row>
    <x:row r="29">
      <x:c r="A29" t="str">
        <x:v>Long-term debt</x:v>
      </x:c>
      <x:c r="B29" s="28" t="n">
        <x:v>36604</x:v>
      </x:c>
      <x:c r="C29" s="28" t="n">
        <x:v>41962</x:v>
      </x:c>
      <x:c r="D29" s="28" t="n">
        <x:v>42743</x:v>
      </x:c>
      <x:c r="E29" s="28" t="n">
        <x:v>48485</x:v>
      </x:c>
      <x:c r="F29" s="28" t="n">
        <x:v>46341</x:v>
      </x:c>
      <x:c r="G29" t="str">
        <x:v>Balance Sheet</x:v>
      </x:c>
      <x:c r="H29" t="str">
        <x:v>USD millions</x:v>
      </x:c>
    </x:row>
    <x:row r="30">
      <x:c r="A30" t="str">
        <x:v>Current liabilities</x:v>
      </x:c>
      <x:c r="B30" s="28" t="n">
        <x:v>28693</x:v>
      </x:c>
      <x:c r="C30" s="28" t="n">
        <x:v>23110</x:v>
      </x:c>
      <x:c r="D30" s="28" t="n">
        <x:v>22015</x:v>
      </x:c>
      <x:c r="E30" s="28" t="n">
        <x:v>28661</x:v>
      </x:c>
      <x:c r="F30" s="28" t="n">
        <x:v>32424</x:v>
      </x:c>
      <x:c r="G30" t="str">
        <x:v>Balance Sheet</x:v>
      </x:c>
      <x:c r="H30" t="str">
        <x:v>USD millions</x:v>
      </x:c>
    </x:row>
    <x:row r="31">
      <x:c r="A31" t="str">
        <x:v>Total liabilities</x:v>
      </x:c>
      <x:c r="B31" s="28" t="n">
        <x:v>73572</x:v>
      </x:c>
      <x:c r="C31" s="28" t="n">
        <x:v>74883</x:v>
      </x:c>
      <x:c r="D31" s="28" t="n">
        <x:v>75486</x:v>
      </x:c>
      <x:c r="E31" s="28" t="n">
        <x:v>89479</x:v>
      </x:c>
      <x:c r="F31" s="28" t="n">
        <x:v>92282</x:v>
      </x:c>
      <x:c r="G31" t="str">
        <x:v>Balance Sheet</x:v>
      </x:c>
      <x:c r="H31" t="str">
        <x:v>USD millions</x:v>
      </x:c>
    </x:row>
    <x:row r="32">
      <x:c r="A32" t="str">
        <x:v>Equity</x:v>
      </x:c>
      <x:c r="B32" s="28" t="n">
        <x:v>-1696</x:v>
      </x:c>
      <x:c r="C32" s="28" t="n">
        <x:v>1562</x:v>
      </x:c>
      <x:c r="D32" s="28" t="n">
        <x:v>1044</x:v>
      </x:c>
      <x:c r="E32" s="28" t="n">
        <x:v>6640</x:v>
      </x:c>
      <x:c r="F32" s="28" t="n">
        <x:v>12813</x:v>
      </x:c>
      <x:c r="G32" t="str">
        <x:v>Balance Sheet</x:v>
      </x:c>
      <x:c r="H32" t="str">
        <x:v>USD millions</x:v>
      </x:c>
    </x:row>
    <x:row r="33">
      <x:c r="A33" t="str">
        <x:v>OCF</x:v>
      </x:c>
      <x:c r="B33" s="28" t="n">
        <x:v>16571</x:v>
      </x:c>
      <x:c r="C33" s="28" t="n">
        <x:v>14615</x:v>
      </x:c>
      <x:c r="D33" s="28" t="n">
        <x:v>21172</x:v>
      </x:c>
      <x:c r="E33" s="28" t="n">
        <x:v>19810</x:v>
      </x:c>
      <x:c r="F33" s="28" t="n">
        <x:v>16325</x:v>
      </x:c>
      <x:c r="G33" t="str">
        <x:v>Balance Sheet</x:v>
      </x:c>
      <x:c r="H33" t="str">
        <x:v>USD millions</x:v>
      </x:c>
    </x:row>
    <x:row r="35" ht="22" customHeight="1">
      <x:c r="A35" s="23" t="str">
        <x:v>CASH FLOW STATEMENT</x:v>
      </x:c>
      <x:c r="B35" s="23"/>
      <x:c r="C35" s="23"/>
      <x:c r="D35" s="23"/>
      <x:c r="E35" s="23"/>
      <x:c r="F35" s="23"/>
      <x:c r="G35" s="23"/>
      <x:c r="H35" s="23"/>
    </x:row>
    <x:row r="36">
      <x:c r="A36" t="str">
        <x:v>Capital expenditures</x:v>
      </x:c>
      <x:c r="B36" s="28" t="n">
        <x:v>-2566</x:v>
      </x:c>
      <x:c r="C36" s="28" t="n">
        <x:v>-3119</x:v>
      </x:c>
      <x:c r="D36" s="28" t="n">
        <x:v>-3226</x:v>
      </x:c>
      <x:c r="E36" s="28" t="n">
        <x:v>-3485</x:v>
      </x:c>
      <x:c r="F36" s="28" t="n">
        <x:v>-3679</x:v>
      </x:c>
      <x:c r="G36" t="str">
        <x:v>Cash Flow</x:v>
      </x:c>
      <x:c r="H36" t="str">
        <x:v>USD millions</x:v>
      </x:c>
    </x:row>
    <x:row r="37">
      <x:c r="A37" t="str">
        <x:v>Acquisitions</x:v>
      </x:c>
      <x:c r="B37" s="28" t="n">
        <x:v>-421</x:v>
      </x:c>
      <x:c r="C37" s="28" t="n">
        <x:v>0</x:v>
      </x:c>
      <x:c r="D37" s="28" t="n">
        <x:v>-1514</x:v>
      </x:c>
      <x:c r="E37" s="28" t="n">
        <x:v>-17644</x:v>
      </x:c>
      <x:c r="F37" s="28" t="n">
        <x:v>-5410</x:v>
      </x:c>
      <x:c r="G37" t="str">
        <x:v>Cash Flow</x:v>
      </x:c>
      <x:c r="H37" t="str">
        <x:v>USD millions</x:v>
      </x:c>
    </x:row>
    <x:row r="38">
      <x:c r="A38" t="str">
        <x:v>Investing CF</x:v>
      </x:c>
      <x:c r="B38" s="28" t="n">
        <x:v>-2969</x:v>
      </x:c>
      <x:c r="C38" s="28" t="n">
        <x:v>-3140</x:v>
      </x:c>
      <x:c r="D38" s="28" t="n">
        <x:v>-4729</x:v>
      </x:c>
      <x:c r="E38" s="28" t="n">
        <x:v>-21031</x:v>
      </x:c>
      <x:c r="F38" s="28" t="n">
        <x:v>-8980</x:v>
      </x:c>
      <x:c r="G38" t="str">
        <x:v>Cash Flow</x:v>
      </x:c>
      <x:c r="H38" t="str">
        <x:v>USD millions</x:v>
      </x:c>
    </x:row>
    <x:row r="39">
      <x:c r="A39" t="str">
        <x:v>Financing CF</x:v>
      </x:c>
      <x:c r="B39" s="28" t="n">
        <x:v>-19120</x:v>
      </x:c>
      <x:c r="C39" s="28" t="n">
        <x:v>-10993</x:v>
      </x:c>
      <x:c r="D39" s="28" t="n">
        <x:v>-15443</x:v>
      </x:c>
      <x:c r="E39" s="28" t="n">
        <x:v>-694</x:v>
      </x:c>
      <x:c r="F39" s="28" t="n">
        <x:v>-7714</x:v>
      </x:c>
      <x:c r="G39" t="str">
        <x:v>Cash Flow</x:v>
      </x:c>
      <x:c r="H39" t="str">
        <x:v>USD millions</x:v>
      </x:c>
    </x:row>
    <x:row r="40">
      <x:c r="A40" t="str">
        <x:v>FX effect</x:v>
      </x:c>
      <x:c r="B40" s="28" t="n">
        <x:v>-34</x:v>
      </x:c>
      <x:c r="C40" s="28" t="n">
        <x:v>-68</x:v>
      </x:c>
      <x:c r="D40" s="28" t="n">
        <x:v>3</x:v>
      </x:c>
      <x:c r="E40" s="28" t="n">
        <x:v>-186</x:v>
      </x:c>
      <x:c r="F40" s="28" t="n">
        <x:v>99</x:v>
      </x:c>
      <x:c r="G40" t="str">
        <x:v>Cash Flow</x:v>
      </x:c>
      <x:c r="H40" t="str">
        <x:v>USD millions</x:v>
      </x:c>
    </x:row>
    <x:row r="41">
      <x:c r="A41" t="str">
        <x:v>CF change before FX</x:v>
      </x:c>
      <x:c r="B41" s="28" t="n">
        <x:v>-5518</x:v>
      </x:c>
      <x:c r="C41" s="28" t="n">
        <x:v>482</x:v>
      </x:c>
      <x:c r="D41" s="28" t="n">
        <x:v>1000</x:v>
      </x:c>
      <x:c r="E41" s="28" t="n">
        <x:v>-1915</x:v>
      </x:c>
      <x:c r="F41" s="28" t="n">
        <x:v>-369</x:v>
      </x:c>
      <x:c r="G41" t="str">
        <x:v>Cash Flow</x:v>
      </x:c>
      <x:c r="H41" t="str">
        <x:v>USD millions</x:v>
      </x:c>
    </x:row>
    <x:row r="42">
      <x:c r="A42" t="str">
        <x:v>Beginning cash</x:v>
      </x:c>
      <x:c r="B42" s="28" t="n">
        <x:v>7895</x:v>
      </x:c>
      <x:c r="C42" s="28" t="n">
        <x:v>2343</x:v>
      </x:c>
      <x:c r="D42" s="28" t="n">
        <x:v>2757</x:v>
      </x:c>
      <x:c r="E42" s="28" t="n">
        <x:v>3760</x:v>
      </x:c>
      <x:c r="F42" s="28" t="n">
        <x:v>1659</x:v>
      </x:c>
      <x:c r="G42" t="str">
        <x:v>Cash Flow</x:v>
      </x:c>
      <x:c r="H42" t="str">
        <x:v>USD millions</x:v>
      </x:c>
    </x:row>
    <x:row r="43">
      <x:c r="A43" t="str">
        <x:v>Ending cash</x:v>
      </x:c>
      <x:c r="B43" s="28" t="n">
        <x:v>2343</x:v>
      </x:c>
      <x:c r="C43" s="28" t="n">
        <x:v>2757</x:v>
      </x:c>
      <x:c r="D43" s="28" t="n">
        <x:v>3760</x:v>
      </x:c>
      <x:c r="E43" s="28" t="n">
        <x:v>1659</x:v>
      </x:c>
      <x:c r="F43" s="28" t="n">
        <x:v>1389</x:v>
      </x:c>
      <x:c r="G43" t="str">
        <x:v>Cash Flow</x:v>
      </x:c>
      <x:c r="H43" t="str">
        <x:v>USD millions</x:v>
      </x:c>
    </x:row>
    <x:row r="44">
      <x:c r="A44" t="str">
        <x:v>Dividends</x:v>
      </x:c>
      <x:c r="B44" s="28" t="n">
        <x:v>-6985</x:v>
      </x:c>
      <x:c r="C44" s="28" t="n">
        <x:v>-7789</x:v>
      </x:c>
      <x:c r="D44" s="28" t="n">
        <x:v>-8383</x:v>
      </x:c>
      <x:c r="E44" s="28" t="n">
        <x:v>-8929</x:v>
      </x:c>
      <x:c r="F44" s="28" t="n">
        <x:v>-9152</x:v>
      </x:c>
      <x:c r="G44" t="str">
        <x:v>Cash Flow</x:v>
      </x:c>
      <x:c r="H44" t="str">
        <x:v>USD millions</x:v>
      </x:c>
    </x:row>
    <x:row r="45">
      <x:c r="A45" t="str">
        <x:v>Buybacks</x:v>
      </x:c>
      <x:c r="B45" s="28" t="n">
        <x:v>-14809</x:v>
      </x:c>
      <x:c r="C45" s="28" t="n">
        <x:v>-6696</x:v>
      </x:c>
      <x:c r="D45" s="28" t="n">
        <x:v>-7951</x:v>
      </x:c>
      <x:c r="E45" s="28" t="n">
        <x:v>-649</x:v>
      </x:c>
      <x:c r="F45" s="28" t="n">
        <x:v>0</x:v>
      </x:c>
      <x:c r="G45" t="str">
        <x:v>Cash Flow</x:v>
      </x:c>
      <x:c r="H45" t="str">
        <x:v>USD millions</x:v>
      </x:c>
    </x:row>
    <x:row r="46">
      <x:c r="A46" t="str">
        <x:v>CF statement D&amp;A</x:v>
      </x:c>
      <x:c r="B46" s="28" t="n">
        <x:v>2862</x:v>
      </x:c>
      <x:c r="C46" s="28" t="n">
        <x:v>2975</x:v>
      </x:c>
      <x:c r="D46" s="28" t="n">
        <x:v>3247</x:v>
      </x:c>
      <x:c r="E46" s="28" t="n">
        <x:v>3761</x:v>
      </x:c>
      <x:c r="F46" s="28" t="n">
        <x:v>4121</x:v>
      </x:c>
      <x:c r="G46" t="str">
        <x:v>Cash Flow</x:v>
      </x:c>
      <x:c r="H46" t="str">
        <x:v>USD millions</x:v>
      </x:c>
    </x:row>
    <x:row r="47">
      <x:c r="A47" t="str">
        <x:v>Stock-based comp</x:v>
      </x:c>
      <x:c r="B47" s="28" t="n">
        <x:v>399</x:v>
      </x:c>
      <x:c r="C47" s="28" t="n">
        <x:v>366</x:v>
      </x:c>
      <x:c r="D47" s="28" t="n">
        <x:v>380</x:v>
      </x:c>
      <x:c r="E47" s="28" t="n">
        <x:v>442</x:v>
      </x:c>
      <x:c r="F47" s="28" t="n">
        <x:v>522</x:v>
      </x:c>
      <x:c r="G47" t="str">
        <x:v>Cash Flow</x:v>
      </x:c>
      <x:c r="H47" t="str">
        <x:v>USD millions</x:v>
      </x:c>
    </x:row>
  </x:sheetData>
  <x:mergeCells>
    <x:mergeCell ref="A1:H2"/>
    <x:mergeCell ref="A5:H5"/>
    <x:mergeCell ref="A19:H19"/>
    <x:mergeCell ref="A35:H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55" hidden="0" customWidth="1"/>
  </x:cols>
  <x:sheetData>
    <x:row r="1">
      <x:c r="A1" s="20" t="str">
        <x:v>FIVE-YEAR FINANCIAL PERFORMANCE DASHBOARD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 ht="24" customHeight="1">
      <x:c r="A4" s="13" t="str">
        <x:v>Metric / USD millions unless %</x:v>
      </x:c>
      <x:c r="B4" s="13" t="n">
        <x:v>2021</x:v>
      </x:c>
      <x:c r="C4" s="13" t="n">
        <x:v>2022</x:v>
      </x:c>
      <x:c r="D4" s="13" t="n">
        <x:v>2023</x:v>
      </x:c>
      <x:c r="E4" s="13" t="n">
        <x:v>2024</x:v>
      </x:c>
      <x:c r="F4" s="13" t="n">
        <x:v>2025</x:v>
      </x:c>
    </x:row>
    <x:row r="6" ht="22" customHeight="1">
      <x:c r="A6" s="23" t="str">
        <x:v>REVENUE AND MARGINS</x:v>
      </x:c>
      <x:c r="B6" s="23"/>
      <x:c r="C6" s="23"/>
      <x:c r="D6" s="23"/>
      <x:c r="E6" s="23"/>
      <x:c r="F6" s="23"/>
    </x:row>
    <x:row r="7" ht="28" customHeight="1">
      <x:c r="A7" t="str">
        <x:v>Revenue</x:v>
      </x:c>
      <x:c r="B7" s="34" t="n">
        <x:f>'SOURCE DATA'!B6</x:f>
        <x:v>151157</x:v>
      </x:c>
      <x:c r="C7" s="34" t="n">
        <x:f>'SOURCE DATA'!C6</x:f>
        <x:v>157403</x:v>
      </x:c>
      <x:c r="D7" s="34" t="n">
        <x:f>'SOURCE DATA'!D6</x:f>
        <x:v>152669</x:v>
      </x:c>
      <x:c r="E7" s="34" t="n">
        <x:f>'SOURCE DATA'!E6</x:f>
        <x:v>159514</x:v>
      </x:c>
      <x:c r="F7" s="34" t="n">
        <x:f>'SOURCE DATA'!F6</x:f>
        <x:v>164683</x:v>
      </x:c>
      <x:c r="H7" s="16" t="str">
        <x:v>SOURCE: Reported inputs are linked from SOURCE DATA.</x:v>
      </x:c>
    </x:row>
    <x:row r="8" ht="28" customHeight="1">
      <x:c r="A8" t="str">
        <x:v>Revenue growth</x:v>
      </x:c>
      <x:c r="B8" s="38" t="str">
        <x:f>""</x:f>
      </x:c>
      <x:c r="C8" s="38" t="n">
        <x:f>C7/B7-1</x:f>
        <x:v>0.04132127523038953</x:v>
      </x:c>
      <x:c r="D8" s="38" t="n">
        <x:f>D7/C7-1</x:f>
        <x:v>-0.030075665648049865</x:v>
      </x:c>
      <x:c r="E8" s="38" t="n">
        <x:f>E7/D7-1</x:f>
        <x:v>0.04483555928184502</x:v>
      </x:c>
      <x:c r="F8" s="38" t="n">
        <x:f>F7/E7-1</x:f>
        <x:v>0.032404679213109855</x:v>
      </x:c>
      <x:c r="H8" s="16" t="str">
        <x:v>FY2024 had 53 weeks versus 52 weeks in FY2025.</x:v>
      </x:c>
    </x:row>
    <x:row r="9" ht="28" customHeight="1">
      <x:c r="A9" t="str">
        <x:v>Gross profit margin</x:v>
      </x:c>
      <x:c r="B9" s="38" t="n">
        <x:f>('SOURCE DATA'!B8)/B7</x:f>
        <x:v>0.3362861131141793</x:v>
      </x:c>
      <x:c r="C9" s="38" t="n">
        <x:f>('SOURCE DATA'!C8)/C7</x:f>
        <x:v>0.3353049179494673</x:v>
      </x:c>
      <x:c r="D9" s="38" t="n">
        <x:f>('SOURCE DATA'!D8)/D7</x:f>
        <x:v>0.33379402498215094</x:v>
      </x:c>
      <x:c r="E9" s="38" t="n">
        <x:f>('SOURCE DATA'!E8)/E7</x:f>
        <x:v>0.3341901024361498</x:v>
      </x:c>
      <x:c r="F9" s="38" t="n">
        <x:f>('SOURCE DATA'!F8)/F7</x:f>
        <x:v>0.33315521334928316</x:v>
      </x:c>
      <x:c r="H9" s="16" t="str">
        <x:v>2024/2025 sales include acquisitions; organic growth differs.</x:v>
      </x:c>
    </x:row>
    <x:row r="10" ht="28" customHeight="1">
      <x:c r="A10" t="str">
        <x:v>Operating profit margin</x:v>
      </x:c>
      <x:c r="B10" s="38" t="n">
        <x:f>'SOURCE DATA'!B11/B7</x:f>
        <x:v>0.15242430056166767</x:v>
      </x:c>
      <x:c r="C10" s="38" t="n">
        <x:f>'SOURCE DATA'!C11/C7</x:f>
        <x:v>0.15272262917479337</x:v>
      </x:c>
      <x:c r="D10" s="38" t="n">
        <x:f>'SOURCE DATA'!D11/D7</x:f>
        <x:v>0.1420655142825328</x:v>
      </x:c>
      <x:c r="E10" s="38" t="n">
        <x:f>'SOURCE DATA'!E11/E7</x:f>
        <x:v>0.13494740273581002</x:v>
      </x:c>
      <x:c r="F10" s="38" t="n">
        <x:f>'SOURCE DATA'!F11/F7</x:f>
        <x:v>0.12684976591390731</x:v>
      </x:c>
      <x:c r="H10" s="16" t="str">
        <x:v>See methodology.md for definitions and interpretation.</x:v>
      </x:c>
    </x:row>
    <x:row r="11" ht="28" customHeight="1">
      <x:c r="A11" t="str">
        <x:v>Net profit margin</x:v>
      </x:c>
      <x:c r="B11" s="38" t="n">
        <x:f>'SOURCE DATA'!B15/B7</x:f>
        <x:v>0.1087147799969568</x:v>
      </x:c>
      <x:c r="C11" s="38" t="n">
        <x:f>'SOURCE DATA'!C15/C7</x:f>
        <x:v>0.10867010158637383</x:v>
      </x:c>
      <x:c r="D11" s="38" t="n">
        <x:f>'SOURCE DATA'!D15/D7</x:f>
        <x:v>0.09918844035134834</x:v>
      </x:c>
      <x:c r="E11" s="38" t="n">
        <x:f>'SOURCE DATA'!E15/E7</x:f>
        <x:v>0.09281943904610254</x:v>
      </x:c>
      <x:c r="F11" s="38" t="n">
        <x:f>'SOURCE DATA'!F15/F7</x:f>
        <x:v>0.08595908503002739</x:v>
      </x:c>
      <x:c r="H11" s="16" t="str">
        <x:v>FY2021 inventory turnover uses FY2020 inventory (16,627).</x:v>
      </x:c>
    </x:row>
    <x:row r="12" ht="28" customHeight="1">
      <x:c r="A12" t="str">
        <x:v>SG&amp;A as % of sales</x:v>
      </x:c>
      <x:c r="B12" s="38" t="n">
        <x:f>'SOURCE DATA'!B9/B7</x:f>
        <x:v>0.16807690017663754</x:v>
      </x:c>
      <x:c r="C12" s="38" t="n">
        <x:f>'SOURCE DATA'!C9/C7</x:f>
        <x:v>0.16698538147303418</x:v>
      </x:c>
      <x:c r="D12" s="38" t="n">
        <x:f>'SOURCE DATA'!D9/D7</x:f>
        <x:v>0.17422004467180632</x:v>
      </x:c>
      <x:c r="E12" s="38" t="n">
        <x:f>'SOURCE DATA'!E9/E7</x:f>
        <x:v>0.1802224256178141</x:v>
      </x:c>
      <x:c r="F12" s="38" t="n">
        <x:f>'SOURCE DATA'!F9/F7</x:f>
        <x:v>0.18643090057868755</x:v>
      </x:c>
      <x:c r="H12" s="16" t="str">
        <x:v>FY2021 ROA uses FY2020 assets (70,581).</x:v>
      </x:c>
    </x:row>
    <x:row r="13" ht="28" customHeight="1">
      <x:c r="A13" t="str">
        <x:v>Diluted EPS (USD/share)</x:v>
      </x:c>
      <x:c r="B13" s="42" t="n">
        <x:f>'SOURCE DATA'!B17</x:f>
        <x:v>15.53</x:v>
      </x:c>
      <x:c r="C13" s="42" t="n">
        <x:f>'SOURCE DATA'!C17</x:f>
        <x:v>16.69</x:v>
      </x:c>
      <x:c r="D13" s="42" t="n">
        <x:f>'SOURCE DATA'!D17</x:f>
        <x:v>15.11</x:v>
      </x:c>
      <x:c r="E13" s="42" t="n">
        <x:f>'SOURCE DATA'!E17</x:f>
        <x:v>14.91</x:v>
      </x:c>
      <x:c r="F13" s="42" t="n">
        <x:f>'SOURCE DATA'!F17</x:f>
        <x:v>14.23</x:v>
      </x:c>
      <x:c r="H13" s="16" t="str">
        <x:v>Inventory turnover here is a simple average-inventory method.</x:v>
      </x:c>
    </x:row>
    <x:row r="14" ht="28" customHeight="1">
      <x:c r="H14" s="16" t="str">
        <x:v>Free cash flow is OCF less capital expenditures, not FCFF.</x:v>
      </x:c>
    </x:row>
    <x:row r="15" ht="28" customHeight="1">
      <x:c r="A15" s="23" t="str">
        <x:v>OPERATING CASH FLOW &amp; CAPITAL ALLOCATION</x:v>
      </x:c>
      <x:c r="B15" s="23"/>
      <x:c r="C15" s="23"/>
      <x:c r="D15" s="23"/>
      <x:c r="E15" s="23"/>
      <x:c r="F15" s="23"/>
      <x:c r="H15" s="16" t="str">
        <x:v>Do not interpret accounting ROE with near-zero/negative equity.</x:v>
      </x:c>
    </x:row>
    <x:row r="16">
      <x:c r="A16" t="str">
        <x:v>Operating cash flow</x:v>
      </x:c>
      <x:c r="B16" s="34" t="n">
        <x:f>'SOURCE DATA'!B33</x:f>
        <x:v>16571</x:v>
      </x:c>
      <x:c r="C16" s="34" t="n">
        <x:f>'SOURCE DATA'!C33</x:f>
        <x:v>14615</x:v>
      </x:c>
      <x:c r="D16" s="34" t="n">
        <x:f>'SOURCE DATA'!D33</x:f>
        <x:v>21172</x:v>
      </x:c>
      <x:c r="E16" s="34" t="n">
        <x:f>'SOURCE DATA'!E33</x:f>
        <x:v>19810</x:v>
      </x:c>
      <x:c r="F16" s="34" t="n">
        <x:f>'SOURCE DATA'!F33</x:f>
        <x:v>16325</x:v>
      </x:c>
    </x:row>
    <x:row r="17">
      <x:c r="A17" t="str">
        <x:v>Capital expenditures (positive)</x:v>
      </x:c>
      <x:c r="B17" s="34" t="n">
        <x:f>-'SOURCE DATA'!B36</x:f>
        <x:v>2566</x:v>
      </x:c>
      <x:c r="C17" s="34" t="n">
        <x:f>-'SOURCE DATA'!C36</x:f>
        <x:v>3119</x:v>
      </x:c>
      <x:c r="D17" s="34" t="n">
        <x:f>-'SOURCE DATA'!D36</x:f>
        <x:v>3226</x:v>
      </x:c>
      <x:c r="E17" s="34" t="n">
        <x:f>-'SOURCE DATA'!E36</x:f>
        <x:v>3485</x:v>
      </x:c>
      <x:c r="F17" s="34" t="n">
        <x:f>-'SOURCE DATA'!F36</x:f>
        <x:v>3679</x:v>
      </x:c>
    </x:row>
    <x:row r="18">
      <x:c r="A18" t="str">
        <x:v>Free cash flow (OCF less capex)</x:v>
      </x:c>
      <x:c r="B18" s="44" t="n">
        <x:f>B16-B17</x:f>
        <x:v>14005</x:v>
      </x:c>
      <x:c r="C18" s="44" t="n">
        <x:f>C16-C17</x:f>
        <x:v>11496</x:v>
      </x:c>
      <x:c r="D18" s="44" t="n">
        <x:f>D16-D17</x:f>
        <x:v>17946</x:v>
      </x:c>
      <x:c r="E18" s="44" t="n">
        <x:f>E16-E17</x:f>
        <x:v>16325</x:v>
      </x:c>
      <x:c r="F18" s="44" t="n">
        <x:f>F16-F17</x:f>
        <x:v>12646</x:v>
      </x:c>
    </x:row>
    <x:row r="19">
      <x:c r="A19" t="str">
        <x:v>FCF / sales</x:v>
      </x:c>
      <x:c r="B19" s="38" t="n">
        <x:f>B18/B7</x:f>
        <x:v>0.09265201082318385</x:v>
      </x:c>
      <x:c r="C19" s="38" t="n">
        <x:f>C18/C7</x:f>
        <x:v>0.07303545675749509</x:v>
      </x:c>
      <x:c r="D19" s="38" t="n">
        <x:f>D18/D7</x:f>
        <x:v>0.11754842174901257</x:v>
      </x:c>
      <x:c r="E19" s="38" t="n">
        <x:f>E18/E7</x:f>
        <x:v>0.10234211417179684</x:v>
      </x:c>
      <x:c r="F19" s="38" t="n">
        <x:f>F18/F7</x:f>
        <x:v>0.07678995403289957</x:v>
      </x:c>
    </x:row>
    <x:row r="20">
      <x:c r="A20" t="str">
        <x:v>OCF / net earnings</x:v>
      </x:c>
      <x:c r="B20" s="48" t="n">
        <x:f>B16/'SOURCE DATA'!B15</x:f>
        <x:v>1.0083977362623988</x:v>
      </x:c>
      <x:c r="C20" s="48" t="n">
        <x:f>C16/'SOURCE DATA'!C15</x:f>
        <x:v>0.8544285296696872</x:v>
      </x:c>
      <x:c r="D20" s="48" t="n">
        <x:f>D16/'SOURCE DATA'!D15</x:f>
        <x:v>1.3981377534174206</x:v>
      </x:c>
      <x:c r="E20" s="48" t="n">
        <x:f>E16/'SOURCE DATA'!E15</x:f>
        <x:v>1.3379710928002162</x:v>
      </x:c>
      <x:c r="F20" s="48" t="n">
        <x:f>F16/'SOURCE DATA'!F15</x:f>
        <x:v>1.1532212489403786</x:v>
      </x:c>
    </x:row>
    <x:row r="21">
      <x:c r="A21" t="str">
        <x:v>Cash dividends paid (positive)</x:v>
      </x:c>
      <x:c r="B21" s="34" t="n">
        <x:f>-'SOURCE DATA'!B44</x:f>
        <x:v>6985</x:v>
      </x:c>
      <x:c r="C21" s="34" t="n">
        <x:f>-'SOURCE DATA'!C44</x:f>
        <x:v>7789</x:v>
      </x:c>
      <x:c r="D21" s="34" t="n">
        <x:f>-'SOURCE DATA'!D44</x:f>
        <x:v>8383</x:v>
      </x:c>
      <x:c r="E21" s="34" t="n">
        <x:f>-'SOURCE DATA'!E44</x:f>
        <x:v>8929</x:v>
      </x:c>
      <x:c r="F21" s="34" t="n">
        <x:f>-'SOURCE DATA'!F44</x:f>
        <x:v>9152</x:v>
      </x:c>
    </x:row>
    <x:row r="22">
      <x:c r="A22" t="str">
        <x:v>Share repurchases (positive)</x:v>
      </x:c>
      <x:c r="B22" s="34" t="n">
        <x:f>-'SOURCE DATA'!B45</x:f>
        <x:v>14809</x:v>
      </x:c>
      <x:c r="C22" s="34" t="n">
        <x:f>-'SOURCE DATA'!C45</x:f>
        <x:v>6696</x:v>
      </x:c>
      <x:c r="D22" s="34" t="n">
        <x:f>-'SOURCE DATA'!D45</x:f>
        <x:v>7951</x:v>
      </x:c>
      <x:c r="E22" s="34" t="n">
        <x:f>-'SOURCE DATA'!E45</x:f>
        <x:v>649</x:v>
      </x:c>
      <x:c r="F22" s="34" t="n">
        <x:f>-'SOURCE DATA'!F45</x:f>
        <x:v>0</x:v>
      </x:c>
    </x:row>
    <x:row r="24" ht="22" customHeight="1">
      <x:c r="A24" s="23" t="str">
        <x:v>WORKING CAPITAL / BALANCE SHEET</x:v>
      </x:c>
      <x:c r="B24" s="23"/>
      <x:c r="C24" s="23"/>
      <x:c r="D24" s="23"/>
      <x:c r="E24" s="23"/>
      <x:c r="F24" s="23"/>
    </x:row>
    <x:row r="25">
      <x:c r="A25" t="str">
        <x:v>Current assets</x:v>
      </x:c>
      <x:c r="B25" s="34" t="n">
        <x:f>'SOURCE DATA'!B24</x:f>
        <x:v>29055</x:v>
      </x:c>
      <x:c r="C25" s="34" t="n">
        <x:f>'SOURCE DATA'!C24</x:f>
        <x:v>32471</x:v>
      </x:c>
      <x:c r="D25" s="34" t="n">
        <x:f>'SOURCE DATA'!D24</x:f>
        <x:v>29775</x:v>
      </x:c>
      <x:c r="E25" s="34" t="n">
        <x:f>'SOURCE DATA'!E24</x:f>
        <x:v>31683</x:v>
      </x:c>
      <x:c r="F25" s="34" t="n">
        <x:f>'SOURCE DATA'!F24</x:f>
        <x:v>34391</x:v>
      </x:c>
    </x:row>
    <x:row r="26">
      <x:c r="A26" t="str">
        <x:v>Current liabilities</x:v>
      </x:c>
      <x:c r="B26" s="34" t="n">
        <x:f>'SOURCE DATA'!B30</x:f>
        <x:v>28693</x:v>
      </x:c>
      <x:c r="C26" s="34" t="n">
        <x:f>'SOURCE DATA'!C30</x:f>
        <x:v>23110</x:v>
      </x:c>
      <x:c r="D26" s="34" t="n">
        <x:f>'SOURCE DATA'!D30</x:f>
        <x:v>22015</x:v>
      </x:c>
      <x:c r="E26" s="34" t="n">
        <x:f>'SOURCE DATA'!E30</x:f>
        <x:v>28661</x:v>
      </x:c>
      <x:c r="F26" s="34" t="n">
        <x:f>'SOURCE DATA'!F30</x:f>
        <x:v>32424</x:v>
      </x:c>
    </x:row>
    <x:row r="27">
      <x:c r="A27" t="str">
        <x:v>Current ratio</x:v>
      </x:c>
      <x:c r="B27" s="48" t="n">
        <x:f>B25/B26</x:f>
        <x:v>1.012616317568745</x:v>
      </x:c>
      <x:c r="C27" s="48" t="n">
        <x:f>C25/C26</x:f>
        <x:v>1.4050627434011251</x:v>
      </x:c>
      <x:c r="D27" s="48" t="n">
        <x:f>D25/D26</x:f>
        <x:v>1.3524869407222349</x:v>
      </x:c>
      <x:c r="E27" s="48" t="n">
        <x:f>E25/E26</x:f>
        <x:v>1.1054394473326123</x:v>
      </x:c>
      <x:c r="F27" s="48" t="n">
        <x:f>F25/F26</x:f>
        <x:v>1.06066493955095</x:v>
      </x:c>
    </x:row>
    <x:row r="28">
      <x:c r="A28" t="str">
        <x:v>Net working capital</x:v>
      </x:c>
      <x:c r="B28" s="44" t="n">
        <x:f>B25-B26</x:f>
        <x:v>362</x:v>
      </x:c>
      <x:c r="C28" s="44" t="n">
        <x:f>C25-C26</x:f>
        <x:v>9361</x:v>
      </x:c>
      <x:c r="D28" s="44" t="n">
        <x:f>D25-D26</x:f>
        <x:v>7760</x:v>
      </x:c>
      <x:c r="E28" s="44" t="n">
        <x:f>E25-E26</x:f>
        <x:v>3022</x:v>
      </x:c>
      <x:c r="F28" s="44" t="n">
        <x:f>F25-F26</x:f>
        <x:v>1967</x:v>
      </x:c>
    </x:row>
    <x:row r="29">
      <x:c r="A29" t="str">
        <x:v>Inventory</x:v>
      </x:c>
      <x:c r="B29" s="34" t="n">
        <x:f>'SOURCE DATA'!B22</x:f>
        <x:v>22068</x:v>
      </x:c>
      <x:c r="C29" s="34" t="n">
        <x:f>'SOURCE DATA'!C22</x:f>
        <x:v>24886</x:v>
      </x:c>
      <x:c r="D29" s="34" t="n">
        <x:f>'SOURCE DATA'!D22</x:f>
        <x:v>20976</x:v>
      </x:c>
      <x:c r="E29" s="34" t="n">
        <x:f>'SOURCE DATA'!E22</x:f>
        <x:v>23451</x:v>
      </x:c>
      <x:c r="F29" s="34" t="n">
        <x:f>'SOURCE DATA'!F22</x:f>
        <x:v>25817</x:v>
      </x:c>
    </x:row>
    <x:row r="30">
      <x:c r="A30" t="str">
        <x:v>Inventory turnover (COGS / avg. inventory)</x:v>
      </x:c>
      <x:c r="B30" s="48" t="n">
        <x:f>'SOURCE DATA'!B7/AVERAGE(B29,'SOURCE DATA'!$J$5)</x:f>
        <x:v>5.185424473446182</x:v>
      </x:c>
      <x:c r="C30" s="48" t="n">
        <x:f>'SOURCE DATA'!C7/AVERAGE(C29,B29)</x:f>
        <x:v>4.456489329982536</x:v>
      </x:c>
      <x:c r="D30" s="48" t="n">
        <x:f>'SOURCE DATA'!D7/AVERAGE(D29,C29)</x:f>
        <x:v>4.435436745017662</x:v>
      </x:c>
      <x:c r="E30" s="48" t="n">
        <x:f>'SOURCE DATA'!E7/AVERAGE(E29,D29)</x:f>
        <x:v>4.781146600040516</x:v>
      </x:c>
      <x:c r="F30" s="48" t="n">
        <x:f>'SOURCE DATA'!F7/AVERAGE(F29,E29)</x:f>
        <x:v>4.457984898920191</x:v>
      </x:c>
    </x:row>
    <x:row r="31">
      <x:c r="A31" t="str">
        <x:v>ROA (NI / avg. assets)</x:v>
      </x:c>
      <x:c r="B31" s="38" t="n">
        <x:f>'SOURCE DATA'!B15/AVERAGE('SOURCE DATA'!B25,'SOURCE DATA'!$J$6)</x:f>
        <x:v>0.23070821370659217</x:v>
      </x:c>
      <x:c r="C31" s="38" t="n">
        <x:f>'SOURCE DATA'!C15/AVERAGE('SOURCE DATA'!C25,'SOURCE DATA'!B25)</x:f>
        <x:v>0.23064839098981263</x:v>
      </x:c>
      <x:c r="D31" s="38" t="n">
        <x:f>'SOURCE DATA'!D15/AVERAGE('SOURCE DATA'!D25,'SOURCE DATA'!C25)</x:f>
        <x:v>0.1979800621016506</x:v>
      </x:c>
      <x:c r="E31" s="38" t="n">
        <x:f>'SOURCE DATA'!E15/AVERAGE('SOURCE DATA'!E25,'SOURCE DATA'!D25)</x:f>
        <x:v>0.17151561839338775</x:v>
      </x:c>
      <x:c r="F31" s="38" t="n">
        <x:f>'SOURCE DATA'!F15/AVERAGE('SOURCE DATA'!F25,'SOURCE DATA'!E25)</x:f>
        <x:v>0.1407059150953711</x:v>
      </x:c>
    </x:row>
    <x:row r="32">
      <x:c r="A32" t="str">
        <x:v>Debt incl short term, current maturities &amp; LT</x:v>
      </x:c>
      <x:c r="B32" s="44" t="n">
        <x:f>SUM('SOURCE DATA'!B27,'SOURCE DATA'!B28,'SOURCE DATA'!B29)</x:f>
        <x:v>40086</x:v>
      </x:c>
      <x:c r="C32" s="44" t="n">
        <x:f>SUM('SOURCE DATA'!C27,'SOURCE DATA'!C28,'SOURCE DATA'!C29)</x:f>
        <x:v>43193</x:v>
      </x:c>
      <x:c r="D32" s="44" t="n">
        <x:f>SUM('SOURCE DATA'!D27,'SOURCE DATA'!D28,'SOURCE DATA'!D29)</x:f>
        <x:v>44111</x:v>
      </x:c>
      <x:c r="E32" s="44" t="n">
        <x:f>SUM('SOURCE DATA'!E27,'SOURCE DATA'!E28,'SOURCE DATA'!E29)</x:f>
        <x:v>53383</x:v>
      </x:c>
      <x:c r="F32" s="44" t="n">
        <x:f>SUM('SOURCE DATA'!F27,'SOURCE DATA'!F28,'SOURCE DATA'!F29)</x:f>
        <x:v>55772</x:v>
      </x:c>
    </x:row>
    <x:row r="33">
      <x:c r="A33" t="str">
        <x:v>Total book shareholders' equity</x:v>
      </x:c>
      <x:c r="B33" s="34" t="n">
        <x:f>'SOURCE DATA'!B32</x:f>
        <x:v>-1696</x:v>
      </x:c>
      <x:c r="C33" s="34" t="n">
        <x:f>'SOURCE DATA'!C32</x:f>
        <x:v>1562</x:v>
      </x:c>
      <x:c r="D33" s="34" t="n">
        <x:f>'SOURCE DATA'!D32</x:f>
        <x:v>1044</x:v>
      </x:c>
      <x:c r="E33" s="34" t="n">
        <x:f>'SOURCE DATA'!E32</x:f>
        <x:v>6640</x:v>
      </x:c>
      <x:c r="F33" s="34" t="n">
        <x:f>'SOURCE DATA'!F32</x:f>
        <x:v>12813</x:v>
      </x:c>
    </x:row>
  </x:sheetData>
  <x:mergeCells>
    <x:mergeCell ref="A1:H2"/>
    <x:mergeCell ref="A6:F6"/>
    <x:mergeCell ref="A15:F15"/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20" t="str">
        <x:v>SOURCE RECONCILIATION &amp; FORMULA CHECKS</x:v>
      </x:c>
      <x:c r="B1" s="20"/>
      <x:c r="C1" s="20"/>
      <x:c r="D1" s="20"/>
      <x:c r="E1" s="20"/>
      <x:c r="F1" s="20"/>
      <x:c r="G1" s="20"/>
    </x:row>
    <x:row r="2">
      <x:c r="A2" s="20"/>
      <x:c r="B2" s="20"/>
      <x:c r="C2" s="20"/>
      <x:c r="D2" s="20"/>
      <x:c r="E2" s="20"/>
      <x:c r="F2" s="20"/>
      <x:c r="G2" s="20"/>
    </x:row>
    <x:row r="4" ht="24" customHeight="1">
      <x:c r="A4" s="13" t="str">
        <x:v>Check (USD millions; all should equal 0)</x:v>
      </x:c>
      <x:c r="B4" s="13" t="n">
        <x:v>2021</x:v>
      </x:c>
      <x:c r="C4" s="13" t="n">
        <x:v>2022</x:v>
      </x:c>
      <x:c r="D4" s="13" t="n">
        <x:v>2023</x:v>
      </x:c>
      <x:c r="E4" s="13" t="n">
        <x:v>2024</x:v>
      </x:c>
      <x:c r="F4" s="13" t="n">
        <x:v>2025</x:v>
      </x:c>
    </x:row>
    <x:row r="6">
      <x:c r="A6" t="str">
        <x:v>Gross profit reconciliation</x:v>
      </x:c>
      <x:c r="B6" s="34" t="n">
        <x:f>'SOURCE DATA'!B6-'SOURCE DATA'!B7-'SOURCE DATA'!B8</x:f>
        <x:v>0</x:v>
      </x:c>
      <x:c r="C6" s="34" t="n">
        <x:f>'SOURCE DATA'!C6-'SOURCE DATA'!C7-'SOURCE DATA'!C8</x:f>
        <x:v>0</x:v>
      </x:c>
      <x:c r="D6" s="34" t="n">
        <x:f>'SOURCE DATA'!D6-'SOURCE DATA'!D7-'SOURCE DATA'!D8</x:f>
        <x:v>0</x:v>
      </x:c>
      <x:c r="E6" s="34" t="n">
        <x:f>'SOURCE DATA'!E6-'SOURCE DATA'!E7-'SOURCE DATA'!E8</x:f>
        <x:v>0</x:v>
      </x:c>
      <x:c r="F6" s="34" t="n">
        <x:f>'SOURCE DATA'!F6-'SOURCE DATA'!F7-'SOURCE DATA'!F8</x:f>
        <x:v>0</x:v>
      </x:c>
    </x:row>
    <x:row r="7">
      <x:c r="A7" t="str">
        <x:v>Operating income reconciliation</x:v>
      </x:c>
      <x:c r="B7" s="34" t="n">
        <x:f>'SOURCE DATA'!B8-'SOURCE DATA'!B9-'SOURCE DATA'!B10-'SOURCE DATA'!B11</x:f>
        <x:v>0</x:v>
      </x:c>
      <x:c r="C7" s="34" t="n">
        <x:f>'SOURCE DATA'!C8-'SOURCE DATA'!C9-'SOURCE DATA'!C10-'SOURCE DATA'!C11</x:f>
        <x:v>0</x:v>
      </x:c>
      <x:c r="D7" s="34" t="n">
        <x:f>'SOURCE DATA'!D8-'SOURCE DATA'!D9-'SOURCE DATA'!D10-'SOURCE DATA'!D11</x:f>
        <x:v>0</x:v>
      </x:c>
      <x:c r="E7" s="34" t="n">
        <x:f>'SOURCE DATA'!E8-'SOURCE DATA'!E9-'SOURCE DATA'!E10-'SOURCE DATA'!E11</x:f>
        <x:v>0</x:v>
      </x:c>
      <x:c r="F7" s="34" t="n">
        <x:f>'SOURCE DATA'!F8-'SOURCE DATA'!F9-'SOURCE DATA'!F10-'SOURCE DATA'!F11</x:f>
        <x:v>0</x:v>
      </x:c>
    </x:row>
    <x:row r="8">
      <x:c r="A8" t="str">
        <x:v>Pretax income reconciliation</x:v>
      </x:c>
      <x:c r="B8" s="34" t="n">
        <x:f>'SOURCE DATA'!B11-'SOURCE DATA'!B12-'SOURCE DATA'!B13</x:f>
        <x:v>0</x:v>
      </x:c>
      <x:c r="C8" s="34" t="n">
        <x:f>'SOURCE DATA'!C11-'SOURCE DATA'!C12-'SOURCE DATA'!C13</x:f>
        <x:v>0</x:v>
      </x:c>
      <x:c r="D8" s="34" t="n">
        <x:f>'SOURCE DATA'!D11-'SOURCE DATA'!D12-'SOURCE DATA'!D13</x:f>
        <x:v>0</x:v>
      </x:c>
      <x:c r="E8" s="34" t="n">
        <x:f>'SOURCE DATA'!E11-'SOURCE DATA'!E12-'SOURCE DATA'!E13</x:f>
        <x:v>0</x:v>
      </x:c>
      <x:c r="F8" s="34" t="n">
        <x:f>'SOURCE DATA'!F11-'SOURCE DATA'!F12-'SOURCE DATA'!F13</x:f>
        <x:v>0</x:v>
      </x:c>
    </x:row>
    <x:row r="9">
      <x:c r="A9" t="str">
        <x:v>Net earnings reconciliation</x:v>
      </x:c>
      <x:c r="B9" s="34" t="n">
        <x:f>'SOURCE DATA'!B13-'SOURCE DATA'!B14-'SOURCE DATA'!B15</x:f>
        <x:v>0</x:v>
      </x:c>
      <x:c r="C9" s="34" t="n">
        <x:f>'SOURCE DATA'!C13-'SOURCE DATA'!C14-'SOURCE DATA'!C15</x:f>
        <x:v>0</x:v>
      </x:c>
      <x:c r="D9" s="34" t="n">
        <x:f>'SOURCE DATA'!D13-'SOURCE DATA'!D14-'SOURCE DATA'!D15</x:f>
        <x:v>0</x:v>
      </x:c>
      <x:c r="E9" s="34" t="n">
        <x:f>'SOURCE DATA'!E13-'SOURCE DATA'!E14-'SOURCE DATA'!E15</x:f>
        <x:v>0</x:v>
      </x:c>
      <x:c r="F9" s="34" t="n">
        <x:f>'SOURCE DATA'!F13-'SOURCE DATA'!F14-'SOURCE DATA'!F15</x:f>
        <x:v>0</x:v>
      </x:c>
    </x:row>
    <x:row r="10">
      <x:c r="A10" t="str">
        <x:v>Balance sheet identity</x:v>
      </x:c>
      <x:c r="B10" s="34" t="n">
        <x:f>'SOURCE DATA'!B25-'SOURCE DATA'!B31-'SOURCE DATA'!B32</x:f>
        <x:v>0</x:v>
      </x:c>
      <x:c r="C10" s="34" t="n">
        <x:f>'SOURCE DATA'!C25-'SOURCE DATA'!C31-'SOURCE DATA'!C32</x:f>
        <x:v>0</x:v>
      </x:c>
      <x:c r="D10" s="34" t="n">
        <x:f>'SOURCE DATA'!D25-'SOURCE DATA'!D31-'SOURCE DATA'!D32</x:f>
        <x:v>0</x:v>
      </x:c>
      <x:c r="E10" s="34" t="n">
        <x:f>'SOURCE DATA'!E25-'SOURCE DATA'!E31-'SOURCE DATA'!E32</x:f>
        <x:v>0</x:v>
      </x:c>
      <x:c r="F10" s="34" t="n">
        <x:f>'SOURCE DATA'!F25-'SOURCE DATA'!F31-'SOURCE DATA'!F32</x:f>
        <x:v>0</x:v>
      </x:c>
    </x:row>
    <x:row r="11">
      <x:c r="A11" t="str">
        <x:v>Current assets component check</x:v>
      </x:c>
      <x:c r="B11" s="34" t="n">
        <x:f>SUM('SOURCE DATA'!B20,'SOURCE DATA'!B21,'SOURCE DATA'!B22,'SOURCE DATA'!B23)-'SOURCE DATA'!B24</x:f>
        <x:v>0</x:v>
      </x:c>
      <x:c r="C11" s="34" t="n">
        <x:f>SUM('SOURCE DATA'!C20,'SOURCE DATA'!C21,'SOURCE DATA'!C22,'SOURCE DATA'!C23)-'SOURCE DATA'!C24</x:f>
        <x:v>0</x:v>
      </x:c>
      <x:c r="D11" s="34" t="n">
        <x:f>SUM('SOURCE DATA'!D20,'SOURCE DATA'!D21,'SOURCE DATA'!D22,'SOURCE DATA'!D23)-'SOURCE DATA'!D24</x:f>
        <x:v>0</x:v>
      </x:c>
      <x:c r="E11" s="34" t="n">
        <x:f>SUM('SOURCE DATA'!E20,'SOURCE DATA'!E21,'SOURCE DATA'!E22,'SOURCE DATA'!E23)-'SOURCE DATA'!E24</x:f>
        <x:v>0</x:v>
      </x:c>
      <x:c r="F11" s="34" t="n">
        <x:f>SUM('SOURCE DATA'!F20,'SOURCE DATA'!F21,'SOURCE DATA'!F22,'SOURCE DATA'!F23)-'SOURCE DATA'!F24</x:f>
        <x:v>0</x:v>
      </x:c>
    </x:row>
    <x:row r="12">
      <x:c r="A12" t="str">
        <x:v>Cash flow before FX reconciliation</x:v>
      </x:c>
      <x:c r="B12" s="34" t="n">
        <x:f>SUM('SOURCE DATA'!B33,'SOURCE DATA'!B38,'SOURCE DATA'!B39)-'SOURCE DATA'!B41</x:f>
        <x:v>0</x:v>
      </x:c>
      <x:c r="C12" s="34" t="n">
        <x:f>SUM('SOURCE DATA'!C33,'SOURCE DATA'!C38,'SOURCE DATA'!C39)-'SOURCE DATA'!C41</x:f>
        <x:v>0</x:v>
      </x:c>
      <x:c r="D12" s="34" t="n">
        <x:f>SUM('SOURCE DATA'!D33,'SOURCE DATA'!D38,'SOURCE DATA'!D39)-'SOURCE DATA'!D41</x:f>
        <x:v>0</x:v>
      </x:c>
      <x:c r="E12" s="34" t="n">
        <x:f>SUM('SOURCE DATA'!E33,'SOURCE DATA'!E38,'SOURCE DATA'!E39)-'SOURCE DATA'!E41</x:f>
        <x:v>0</x:v>
      </x:c>
      <x:c r="F12" s="34" t="n">
        <x:f>SUM('SOURCE DATA'!F33,'SOURCE DATA'!F38,'SOURCE DATA'!F39)-'SOURCE DATA'!F41</x:f>
        <x:v>0</x:v>
      </x:c>
    </x:row>
    <x:row r="13">
      <x:c r="A13" t="str">
        <x:v>Cash flow ending cash reconciliation</x:v>
      </x:c>
      <x:c r="B13" s="34" t="n">
        <x:f>SUM('SOURCE DATA'!B42,'SOURCE DATA'!B41,'SOURCE DATA'!B40)-'SOURCE DATA'!B43</x:f>
        <x:v>0</x:v>
      </x:c>
      <x:c r="C13" s="34" t="n">
        <x:f>SUM('SOURCE DATA'!C42,'SOURCE DATA'!C41,'SOURCE DATA'!C40)-'SOURCE DATA'!C43</x:f>
        <x:v>0</x:v>
      </x:c>
      <x:c r="D13" s="34" t="n">
        <x:f>SUM('SOURCE DATA'!D42,'SOURCE DATA'!D41,'SOURCE DATA'!D40)-'SOURCE DATA'!D43</x:f>
        <x:v>0</x:v>
      </x:c>
      <x:c r="E13" s="34" t="n">
        <x:f>SUM('SOURCE DATA'!E42,'SOURCE DATA'!E41,'SOURCE DATA'!E40)-'SOURCE DATA'!E43</x:f>
        <x:v>0</x:v>
      </x:c>
      <x:c r="F13" s="34" t="n">
        <x:f>SUM('SOURCE DATA'!F42,'SOURCE DATA'!F41,'SOURCE DATA'!F40)-'SOURCE DATA'!F43</x:f>
        <x:v>0</x:v>
      </x:c>
    </x:row>
    <x:row r="14">
      <x:c r="A14" t="str">
        <x:v>Cash ending balance vs balance sheet</x:v>
      </x:c>
      <x:c r="B14" s="34" t="n">
        <x:f>'SOURCE DATA'!B43-'SOURCE DATA'!B20</x:f>
        <x:v>0</x:v>
      </x:c>
      <x:c r="C14" s="34" t="n">
        <x:f>'SOURCE DATA'!C43-'SOURCE DATA'!C20</x:f>
        <x:v>0</x:v>
      </x:c>
      <x:c r="D14" s="34" t="n">
        <x:f>'SOURCE DATA'!D43-'SOURCE DATA'!D20</x:f>
        <x:v>0</x:v>
      </x:c>
      <x:c r="E14" s="34" t="n">
        <x:f>'SOURCE DATA'!E43-'SOURCE DATA'!E20</x:f>
        <x:v>0</x:v>
      </x:c>
      <x:c r="F14" s="34" t="n">
        <x:f>'SOURCE DATA'!F43-'SOURCE DATA'!F20</x:f>
        <x:v>0</x:v>
      </x:c>
    </x:row>
    <x:row r="16" ht="24" customHeight="1">
      <x:c r="A16" s="13" t="str">
        <x:v>TOTAL ABSOLUTE ERRORS</x:v>
      </x:c>
      <x:c r="B16" s="13" t="n">
        <x:f>SUM(ABS(B6),ABS(B7),ABS(B8),ABS(B9),ABS(B10),ABS(B11),ABS(B12),ABS(B13),ABS(B14))</x:f>
        <x:v>0</x:v>
      </x:c>
      <x:c r="C16" s="13" t="n">
        <x:f>SUM(ABS(C6),ABS(C7),ABS(C8),ABS(C9),ABS(C10),ABS(C11),ABS(C12),ABS(C13),ABS(C14))</x:f>
        <x:v>0</x:v>
      </x:c>
      <x:c r="D16" s="13" t="n">
        <x:f>SUM(ABS(D6),ABS(D7),ABS(D8),ABS(D9),ABS(D10),ABS(D11),ABS(D12),ABS(D13),ABS(D14))</x:f>
        <x:v>0</x:v>
      </x:c>
      <x:c r="E16" s="13" t="n">
        <x:f>SUM(ABS(E6),ABS(E7),ABS(E8),ABS(E9),ABS(E10),ABS(E11),ABS(E12),ABS(E13),ABS(E14))</x:f>
        <x:v>0</x:v>
      </x:c>
      <x:c r="F16" s="13" t="n">
        <x:f>SUM(ABS(F6),ABS(F7),ABS(F8),ABS(F9),ABS(F10),ABS(F11),ABS(F12),ABS(F13),ABS(F14))</x:f>
        <x:v>0</x:v>
      </x:c>
    </x:row>
    <x:row r="18">
      <x:c r="A18" s="16" t="str">
        <x:v>PASS CRITERION: Each reconciliation value is zero. Accounting amounts are in $ millions as reported.</x:v>
      </x:c>
      <x:c r="B18" s="16"/>
      <x:c r="C18" s="16"/>
      <x:c r="D18" s="16"/>
      <x:c r="E18" s="16"/>
      <x:c r="F18" s="16"/>
    </x:row>
  </x:sheetData>
  <x:mergeCells>
    <x:mergeCell ref="A1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9" hidden="0" customWidth="1"/>
    <x:col min="2" max="2" width="11" hidden="0" customWidth="1"/>
    <x:col min="3" max="3" width="17" hidden="0" customWidth="1"/>
    <x:col min="4" max="4" width="18" hidden="0" customWidth="1"/>
    <x:col min="5" max="5" width="39" hidden="0" customWidth="1"/>
    <x:col min="6" max="6" width="9" hidden="0" customWidth="1"/>
    <x:col min="7" max="7" width="88" hidden="0" customWidth="1"/>
    <x:col min="8" max="8" width="15" hidden="0" customWidth="1"/>
  </x:cols>
  <x:sheetData>
    <x:row r="1">
      <x:c r="A1" s="50" t="str">
        <x:v>SOURCE TRACE  |  EVERY REPORTED INPUT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4" ht="24" customHeight="1">
      <x:c r="A4" s="13" t="str">
        <x:v>Statement / reported line item</x:v>
      </x:c>
      <x:c r="B4" s="13" t="str">
        <x:v>FY</x:v>
      </x:c>
      <x:c r="C4" s="13" t="str">
        <x:v>Reported value</x:v>
      </x:c>
      <x:c r="D4" s="13" t="str">
        <x:v>Unit</x:v>
      </x:c>
      <x:c r="E4" s="13" t="str">
        <x:v>Filing section</x:v>
      </x:c>
      <x:c r="F4" s="13" t="str">
        <x:v>Page</x:v>
      </x:c>
      <x:c r="G4" s="13" t="str">
        <x:v>SEC 10-K source URL</x:v>
      </x:c>
      <x:c r="H4" s="13" t="str">
        <x:v>Source cell</x:v>
      </x:c>
    </x:row>
    <x:row r="5">
      <x:c r="A5" t="str">
        <x:v>Income | Sales</x:v>
      </x:c>
      <x:c r="B5" t="n">
        <x:v>2021</x:v>
      </x:c>
      <x:c r="C5" s="53" t="n">
        <x:v>151157</x:v>
      </x:c>
      <x:c r="D5" t="str">
        <x:v>USD millions</x:v>
      </x:c>
      <x:c r="E5" t="str">
        <x:v>Form 10-K: Consolidated Statements of Earnings</x:v>
      </x:c>
      <x:c r="F5" t="str">
        <x:v>39</x:v>
      </x:c>
      <x:c r="G5" t="str">
        <x:v>https://www.sec.gov/Archives/edgar/data/354950/000035495024000062/hd-20240128.htm</x:v>
      </x:c>
      <x:c r="H5" t="str">
        <x:v>B6</x:v>
      </x:c>
    </x:row>
    <x:row r="6">
      <x:c r="A6" t="str">
        <x:v>Income | Sales</x:v>
      </x:c>
      <x:c r="B6" t="n">
        <x:v>2022</x:v>
      </x:c>
      <x:c r="C6" s="53" t="n">
        <x:v>157403</x:v>
      </x:c>
      <x:c r="D6" t="str">
        <x:v>USD millions</x:v>
      </x:c>
      <x:c r="E6" t="str">
        <x:v>Form 10-K: Consolidated Statements of Earnings</x:v>
      </x:c>
      <x:c r="F6" t="str">
        <x:v>39</x:v>
      </x:c>
      <x:c r="G6" t="str">
        <x:v>https://www.sec.gov/Archives/edgar/data/354950/000035495024000062/hd-20240128.htm</x:v>
      </x:c>
      <x:c r="H6" t="str">
        <x:v>C6</x:v>
      </x:c>
    </x:row>
    <x:row r="7">
      <x:c r="A7" t="str">
        <x:v>Income | Sales</x:v>
      </x:c>
      <x:c r="B7" t="n">
        <x:v>2023</x:v>
      </x:c>
      <x:c r="C7" s="53" t="n">
        <x:v>152669</x:v>
      </x:c>
      <x:c r="D7" t="str">
        <x:v>USD millions</x:v>
      </x:c>
      <x:c r="E7" t="str">
        <x:v>Form 10-K: Consolidated Statements of Earnings</x:v>
      </x:c>
      <x:c r="F7" t="str">
        <x:v>39</x:v>
      </x:c>
      <x:c r="G7" t="str">
        <x:v>https://www.sec.gov/Archives/edgar/data/354950/000035495024000062/hd-20240128.htm</x:v>
      </x:c>
      <x:c r="H7" t="str">
        <x:v>D6</x:v>
      </x:c>
    </x:row>
    <x:row r="8">
      <x:c r="A8" t="str">
        <x:v>Income | Sales</x:v>
      </x:c>
      <x:c r="B8" t="n">
        <x:v>2024</x:v>
      </x:c>
      <x:c r="C8" s="53" t="n">
        <x:v>159514</x:v>
      </x:c>
      <x:c r="D8" t="str">
        <x:v>USD millions</x:v>
      </x:c>
      <x:c r="E8" t="str">
        <x:v>Form 10-K: Consolidated Statements of Earnings</x:v>
      </x:c>
      <x:c r="F8" t="str">
        <x:v>40</x:v>
      </x:c>
      <x:c r="G8" t="str">
        <x:v>https://www.sec.gov/Archives/edgar/data/354950/000162828026019436/hd-20260201.htm</x:v>
      </x:c>
      <x:c r="H8" t="str">
        <x:v>E6</x:v>
      </x:c>
    </x:row>
    <x:row r="9">
      <x:c r="A9" t="str">
        <x:v>Income | Sales</x:v>
      </x:c>
      <x:c r="B9" t="n">
        <x:v>2025</x:v>
      </x:c>
      <x:c r="C9" s="53" t="n">
        <x:v>164683</x:v>
      </x:c>
      <x:c r="D9" t="str">
        <x:v>USD millions</x:v>
      </x:c>
      <x:c r="E9" t="str">
        <x:v>Form 10-K: Consolidated Statements of Earnings</x:v>
      </x:c>
      <x:c r="F9" t="str">
        <x:v>40</x:v>
      </x:c>
      <x:c r="G9" t="str">
        <x:v>https://www.sec.gov/Archives/edgar/data/354950/000162828026019436/hd-20260201.htm</x:v>
      </x:c>
      <x:c r="H9" t="str">
        <x:v>F6</x:v>
      </x:c>
    </x:row>
    <x:row r="10">
      <x:c r="A10" t="str">
        <x:v>Income | COGS</x:v>
      </x:c>
      <x:c r="B10" t="n">
        <x:v>2021</x:v>
      </x:c>
      <x:c r="C10" s="53" t="n">
        <x:v>100325</x:v>
      </x:c>
      <x:c r="D10" t="str">
        <x:v>USD millions</x:v>
      </x:c>
      <x:c r="E10" t="str">
        <x:v>Form 10-K: Consolidated Statements of Earnings</x:v>
      </x:c>
      <x:c r="F10" t="str">
        <x:v>39</x:v>
      </x:c>
      <x:c r="G10" t="str">
        <x:v>https://www.sec.gov/Archives/edgar/data/354950/000035495024000062/hd-20240128.htm</x:v>
      </x:c>
      <x:c r="H10" t="str">
        <x:v>B7</x:v>
      </x:c>
    </x:row>
    <x:row r="11">
      <x:c r="A11" t="str">
        <x:v>Income | COGS</x:v>
      </x:c>
      <x:c r="B11" t="n">
        <x:v>2022</x:v>
      </x:c>
      <x:c r="C11" s="53" t="n">
        <x:v>104625</x:v>
      </x:c>
      <x:c r="D11" t="str">
        <x:v>USD millions</x:v>
      </x:c>
      <x:c r="E11" t="str">
        <x:v>Form 10-K: Consolidated Statements of Earnings</x:v>
      </x:c>
      <x:c r="F11" t="str">
        <x:v>39</x:v>
      </x:c>
      <x:c r="G11" t="str">
        <x:v>https://www.sec.gov/Archives/edgar/data/354950/000035495024000062/hd-20240128.htm</x:v>
      </x:c>
      <x:c r="H11" t="str">
        <x:v>C7</x:v>
      </x:c>
    </x:row>
    <x:row r="12">
      <x:c r="A12" t="str">
        <x:v>Income | COGS</x:v>
      </x:c>
      <x:c r="B12" t="n">
        <x:v>2023</x:v>
      </x:c>
      <x:c r="C12" s="53" t="n">
        <x:v>101709</x:v>
      </x:c>
      <x:c r="D12" t="str">
        <x:v>USD millions</x:v>
      </x:c>
      <x:c r="E12" t="str">
        <x:v>Form 10-K: Consolidated Statements of Earnings</x:v>
      </x:c>
      <x:c r="F12" t="str">
        <x:v>39</x:v>
      </x:c>
      <x:c r="G12" t="str">
        <x:v>https://www.sec.gov/Archives/edgar/data/354950/000035495024000062/hd-20240128.htm</x:v>
      </x:c>
      <x:c r="H12" t="str">
        <x:v>D7</x:v>
      </x:c>
    </x:row>
    <x:row r="13">
      <x:c r="A13" t="str">
        <x:v>Income | COGS</x:v>
      </x:c>
      <x:c r="B13" t="n">
        <x:v>2024</x:v>
      </x:c>
      <x:c r="C13" s="53" t="n">
        <x:v>106206</x:v>
      </x:c>
      <x:c r="D13" t="str">
        <x:v>USD millions</x:v>
      </x:c>
      <x:c r="E13" t="str">
        <x:v>Form 10-K: Consolidated Statements of Earnings</x:v>
      </x:c>
      <x:c r="F13" t="str">
        <x:v>40</x:v>
      </x:c>
      <x:c r="G13" t="str">
        <x:v>https://www.sec.gov/Archives/edgar/data/354950/000162828026019436/hd-20260201.htm</x:v>
      </x:c>
      <x:c r="H13" t="str">
        <x:v>E7</x:v>
      </x:c>
    </x:row>
    <x:row r="14">
      <x:c r="A14" t="str">
        <x:v>Income | COGS</x:v>
      </x:c>
      <x:c r="B14" t="n">
        <x:v>2025</x:v>
      </x:c>
      <x:c r="C14" s="53" t="n">
        <x:v>109818</x:v>
      </x:c>
      <x:c r="D14" t="str">
        <x:v>USD millions</x:v>
      </x:c>
      <x:c r="E14" t="str">
        <x:v>Form 10-K: Consolidated Statements of Earnings</x:v>
      </x:c>
      <x:c r="F14" t="str">
        <x:v>40</x:v>
      </x:c>
      <x:c r="G14" t="str">
        <x:v>https://www.sec.gov/Archives/edgar/data/354950/000162828026019436/hd-20260201.htm</x:v>
      </x:c>
      <x:c r="H14" t="str">
        <x:v>F7</x:v>
      </x:c>
    </x:row>
    <x:row r="15">
      <x:c r="A15" t="str">
        <x:v>Income | Gross profit</x:v>
      </x:c>
      <x:c r="B15" t="n">
        <x:v>2021</x:v>
      </x:c>
      <x:c r="C15" s="53" t="n">
        <x:v>50832</x:v>
      </x:c>
      <x:c r="D15" t="str">
        <x:v>USD millions</x:v>
      </x:c>
      <x:c r="E15" t="str">
        <x:v>Form 10-K: Consolidated Statements of Earnings</x:v>
      </x:c>
      <x:c r="F15" t="str">
        <x:v>39</x:v>
      </x:c>
      <x:c r="G15" t="str">
        <x:v>https://www.sec.gov/Archives/edgar/data/354950/000035495024000062/hd-20240128.htm</x:v>
      </x:c>
      <x:c r="H15" t="str">
        <x:v>B8</x:v>
      </x:c>
    </x:row>
    <x:row r="16">
      <x:c r="A16" t="str">
        <x:v>Income | Gross profit</x:v>
      </x:c>
      <x:c r="B16" t="n">
        <x:v>2022</x:v>
      </x:c>
      <x:c r="C16" s="53" t="n">
        <x:v>52778</x:v>
      </x:c>
      <x:c r="D16" t="str">
        <x:v>USD millions</x:v>
      </x:c>
      <x:c r="E16" t="str">
        <x:v>Form 10-K: Consolidated Statements of Earnings</x:v>
      </x:c>
      <x:c r="F16" t="str">
        <x:v>39</x:v>
      </x:c>
      <x:c r="G16" t="str">
        <x:v>https://www.sec.gov/Archives/edgar/data/354950/000035495024000062/hd-20240128.htm</x:v>
      </x:c>
      <x:c r="H16" t="str">
        <x:v>C8</x:v>
      </x:c>
    </x:row>
    <x:row r="17">
      <x:c r="A17" t="str">
        <x:v>Income | Gross profit</x:v>
      </x:c>
      <x:c r="B17" t="n">
        <x:v>2023</x:v>
      </x:c>
      <x:c r="C17" s="53" t="n">
        <x:v>50960</x:v>
      </x:c>
      <x:c r="D17" t="str">
        <x:v>USD millions</x:v>
      </x:c>
      <x:c r="E17" t="str">
        <x:v>Form 10-K: Consolidated Statements of Earnings</x:v>
      </x:c>
      <x:c r="F17" t="str">
        <x:v>39</x:v>
      </x:c>
      <x:c r="G17" t="str">
        <x:v>https://www.sec.gov/Archives/edgar/data/354950/000035495024000062/hd-20240128.htm</x:v>
      </x:c>
      <x:c r="H17" t="str">
        <x:v>D8</x:v>
      </x:c>
    </x:row>
    <x:row r="18">
      <x:c r="A18" t="str">
        <x:v>Income | Gross profit</x:v>
      </x:c>
      <x:c r="B18" t="n">
        <x:v>2024</x:v>
      </x:c>
      <x:c r="C18" s="53" t="n">
        <x:v>53308</x:v>
      </x:c>
      <x:c r="D18" t="str">
        <x:v>USD millions</x:v>
      </x:c>
      <x:c r="E18" t="str">
        <x:v>Form 10-K: Consolidated Statements of Earnings</x:v>
      </x:c>
      <x:c r="F18" t="str">
        <x:v>40</x:v>
      </x:c>
      <x:c r="G18" t="str">
        <x:v>https://www.sec.gov/Archives/edgar/data/354950/000162828026019436/hd-20260201.htm</x:v>
      </x:c>
      <x:c r="H18" t="str">
        <x:v>E8</x:v>
      </x:c>
    </x:row>
    <x:row r="19">
      <x:c r="A19" t="str">
        <x:v>Income | Gross profit</x:v>
      </x:c>
      <x:c r="B19" t="n">
        <x:v>2025</x:v>
      </x:c>
      <x:c r="C19" s="53" t="n">
        <x:v>54865</x:v>
      </x:c>
      <x:c r="D19" t="str">
        <x:v>USD millions</x:v>
      </x:c>
      <x:c r="E19" t="str">
        <x:v>Form 10-K: Consolidated Statements of Earnings</x:v>
      </x:c>
      <x:c r="F19" t="str">
        <x:v>40</x:v>
      </x:c>
      <x:c r="G19" t="str">
        <x:v>https://www.sec.gov/Archives/edgar/data/354950/000162828026019436/hd-20260201.htm</x:v>
      </x:c>
      <x:c r="H19" t="str">
        <x:v>F8</x:v>
      </x:c>
    </x:row>
    <x:row r="20">
      <x:c r="A20" t="str">
        <x:v>Income | SG&amp;A</x:v>
      </x:c>
      <x:c r="B20" t="n">
        <x:v>2021</x:v>
      </x:c>
      <x:c r="C20" s="53" t="n">
        <x:v>25406</x:v>
      </x:c>
      <x:c r="D20" t="str">
        <x:v>USD millions</x:v>
      </x:c>
      <x:c r="E20" t="str">
        <x:v>Form 10-K: Consolidated Statements of Earnings</x:v>
      </x:c>
      <x:c r="F20" t="str">
        <x:v>39</x:v>
      </x:c>
      <x:c r="G20" t="str">
        <x:v>https://www.sec.gov/Archives/edgar/data/354950/000035495024000062/hd-20240128.htm</x:v>
      </x:c>
      <x:c r="H20" t="str">
        <x:v>B9</x:v>
      </x:c>
    </x:row>
    <x:row r="21">
      <x:c r="A21" t="str">
        <x:v>Income | SG&amp;A</x:v>
      </x:c>
      <x:c r="B21" t="n">
        <x:v>2022</x:v>
      </x:c>
      <x:c r="C21" s="53" t="n">
        <x:v>26284</x:v>
      </x:c>
      <x:c r="D21" t="str">
        <x:v>USD millions</x:v>
      </x:c>
      <x:c r="E21" t="str">
        <x:v>Form 10-K: Consolidated Statements of Earnings</x:v>
      </x:c>
      <x:c r="F21" t="str">
        <x:v>39</x:v>
      </x:c>
      <x:c r="G21" t="str">
        <x:v>https://www.sec.gov/Archives/edgar/data/354950/000035495024000062/hd-20240128.htm</x:v>
      </x:c>
      <x:c r="H21" t="str">
        <x:v>C9</x:v>
      </x:c>
    </x:row>
    <x:row r="22">
      <x:c r="A22" t="str">
        <x:v>Income | SG&amp;A</x:v>
      </x:c>
      <x:c r="B22" t="n">
        <x:v>2023</x:v>
      </x:c>
      <x:c r="C22" s="53" t="n">
        <x:v>26598</x:v>
      </x:c>
      <x:c r="D22" t="str">
        <x:v>USD millions</x:v>
      </x:c>
      <x:c r="E22" t="str">
        <x:v>Form 10-K: Consolidated Statements of Earnings</x:v>
      </x:c>
      <x:c r="F22" t="str">
        <x:v>39</x:v>
      </x:c>
      <x:c r="G22" t="str">
        <x:v>https://www.sec.gov/Archives/edgar/data/354950/000035495024000062/hd-20240128.htm</x:v>
      </x:c>
      <x:c r="H22" t="str">
        <x:v>D9</x:v>
      </x:c>
    </x:row>
    <x:row r="23">
      <x:c r="A23" t="str">
        <x:v>Income | SG&amp;A</x:v>
      </x:c>
      <x:c r="B23" t="n">
        <x:v>2024</x:v>
      </x:c>
      <x:c r="C23" s="53" t="n">
        <x:v>28748</x:v>
      </x:c>
      <x:c r="D23" t="str">
        <x:v>USD millions</x:v>
      </x:c>
      <x:c r="E23" t="str">
        <x:v>Form 10-K: Consolidated Statements of Earnings</x:v>
      </x:c>
      <x:c r="F23" t="str">
        <x:v>40</x:v>
      </x:c>
      <x:c r="G23" t="str">
        <x:v>https://www.sec.gov/Archives/edgar/data/354950/000162828026019436/hd-20260201.htm</x:v>
      </x:c>
      <x:c r="H23" t="str">
        <x:v>E9</x:v>
      </x:c>
    </x:row>
    <x:row r="24">
      <x:c r="A24" t="str">
        <x:v>Income | SG&amp;A</x:v>
      </x:c>
      <x:c r="B24" t="n">
        <x:v>2025</x:v>
      </x:c>
      <x:c r="C24" s="53" t="n">
        <x:v>30702</x:v>
      </x:c>
      <x:c r="D24" t="str">
        <x:v>USD millions</x:v>
      </x:c>
      <x:c r="E24" t="str">
        <x:v>Form 10-K: Consolidated Statements of Earnings</x:v>
      </x:c>
      <x:c r="F24" t="str">
        <x:v>40</x:v>
      </x:c>
      <x:c r="G24" t="str">
        <x:v>https://www.sec.gov/Archives/edgar/data/354950/000162828026019436/hd-20260201.htm</x:v>
      </x:c>
      <x:c r="H24" t="str">
        <x:v>F9</x:v>
      </x:c>
    </x:row>
    <x:row r="25">
      <x:c r="A25" t="str">
        <x:v>Income | Income statement D&amp;A</x:v>
      </x:c>
      <x:c r="B25" t="n">
        <x:v>2021</x:v>
      </x:c>
      <x:c r="C25" s="53" t="n">
        <x:v>2386</x:v>
      </x:c>
      <x:c r="D25" t="str">
        <x:v>USD millions</x:v>
      </x:c>
      <x:c r="E25" t="str">
        <x:v>Form 10-K: Consolidated Statements of Earnings</x:v>
      </x:c>
      <x:c r="F25" t="str">
        <x:v>39</x:v>
      </x:c>
      <x:c r="G25" t="str">
        <x:v>https://www.sec.gov/Archives/edgar/data/354950/000035495024000062/hd-20240128.htm</x:v>
      </x:c>
      <x:c r="H25" t="str">
        <x:v>B10</x:v>
      </x:c>
    </x:row>
    <x:row r="26">
      <x:c r="A26" t="str">
        <x:v>Income | Income statement D&amp;A</x:v>
      </x:c>
      <x:c r="B26" t="n">
        <x:v>2022</x:v>
      </x:c>
      <x:c r="C26" s="53" t="n">
        <x:v>2455</x:v>
      </x:c>
      <x:c r="D26" t="str">
        <x:v>USD millions</x:v>
      </x:c>
      <x:c r="E26" t="str">
        <x:v>Form 10-K: Consolidated Statements of Earnings</x:v>
      </x:c>
      <x:c r="F26" t="str">
        <x:v>39</x:v>
      </x:c>
      <x:c r="G26" t="str">
        <x:v>https://www.sec.gov/Archives/edgar/data/354950/000035495024000062/hd-20240128.htm</x:v>
      </x:c>
      <x:c r="H26" t="str">
        <x:v>C10</x:v>
      </x:c>
    </x:row>
    <x:row r="27">
      <x:c r="A27" t="str">
        <x:v>Income | Income statement D&amp;A</x:v>
      </x:c>
      <x:c r="B27" t="n">
        <x:v>2023</x:v>
      </x:c>
      <x:c r="C27" s="53" t="n">
        <x:v>2673</x:v>
      </x:c>
      <x:c r="D27" t="str">
        <x:v>USD millions</x:v>
      </x:c>
      <x:c r="E27" t="str">
        <x:v>Form 10-K: Consolidated Statements of Earnings</x:v>
      </x:c>
      <x:c r="F27" t="str">
        <x:v>39</x:v>
      </x:c>
      <x:c r="G27" t="str">
        <x:v>https://www.sec.gov/Archives/edgar/data/354950/000035495024000062/hd-20240128.htm</x:v>
      </x:c>
      <x:c r="H27" t="str">
        <x:v>D10</x:v>
      </x:c>
    </x:row>
    <x:row r="28">
      <x:c r="A28" t="str">
        <x:v>Income | Income statement D&amp;A</x:v>
      </x:c>
      <x:c r="B28" t="n">
        <x:v>2024</x:v>
      </x:c>
      <x:c r="C28" s="53" t="n">
        <x:v>3034</x:v>
      </x:c>
      <x:c r="D28" t="str">
        <x:v>USD millions</x:v>
      </x:c>
      <x:c r="E28" t="str">
        <x:v>Form 10-K: Consolidated Statements of Earnings</x:v>
      </x:c>
      <x:c r="F28" t="str">
        <x:v>40</x:v>
      </x:c>
      <x:c r="G28" t="str">
        <x:v>https://www.sec.gov/Archives/edgar/data/354950/000162828026019436/hd-20260201.htm</x:v>
      </x:c>
      <x:c r="H28" t="str">
        <x:v>E10</x:v>
      </x:c>
    </x:row>
    <x:row r="29">
      <x:c r="A29" t="str">
        <x:v>Income | Income statement D&amp;A</x:v>
      </x:c>
      <x:c r="B29" t="n">
        <x:v>2025</x:v>
      </x:c>
      <x:c r="C29" s="53" t="n">
        <x:v>3273</x:v>
      </x:c>
      <x:c r="D29" t="str">
        <x:v>USD millions</x:v>
      </x:c>
      <x:c r="E29" t="str">
        <x:v>Form 10-K: Consolidated Statements of Earnings</x:v>
      </x:c>
      <x:c r="F29" t="str">
        <x:v>40</x:v>
      </x:c>
      <x:c r="G29" t="str">
        <x:v>https://www.sec.gov/Archives/edgar/data/354950/000162828026019436/hd-20260201.htm</x:v>
      </x:c>
      <x:c r="H29" t="str">
        <x:v>F10</x:v>
      </x:c>
    </x:row>
    <x:row r="30">
      <x:c r="A30" t="str">
        <x:v>Income | Operating income</x:v>
      </x:c>
      <x:c r="B30" t="n">
        <x:v>2021</x:v>
      </x:c>
      <x:c r="C30" s="53" t="n">
        <x:v>23040</x:v>
      </x:c>
      <x:c r="D30" t="str">
        <x:v>USD millions</x:v>
      </x:c>
      <x:c r="E30" t="str">
        <x:v>Form 10-K: Consolidated Statements of Earnings</x:v>
      </x:c>
      <x:c r="F30" t="str">
        <x:v>39</x:v>
      </x:c>
      <x:c r="G30" t="str">
        <x:v>https://www.sec.gov/Archives/edgar/data/354950/000035495024000062/hd-20240128.htm</x:v>
      </x:c>
      <x:c r="H30" t="str">
        <x:v>B11</x:v>
      </x:c>
    </x:row>
    <x:row r="31">
      <x:c r="A31" t="str">
        <x:v>Income | Operating income</x:v>
      </x:c>
      <x:c r="B31" t="n">
        <x:v>2022</x:v>
      </x:c>
      <x:c r="C31" s="53" t="n">
        <x:v>24039</x:v>
      </x:c>
      <x:c r="D31" t="str">
        <x:v>USD millions</x:v>
      </x:c>
      <x:c r="E31" t="str">
        <x:v>Form 10-K: Consolidated Statements of Earnings</x:v>
      </x:c>
      <x:c r="F31" t="str">
        <x:v>39</x:v>
      </x:c>
      <x:c r="G31" t="str">
        <x:v>https://www.sec.gov/Archives/edgar/data/354950/000035495024000062/hd-20240128.htm</x:v>
      </x:c>
      <x:c r="H31" t="str">
        <x:v>C11</x:v>
      </x:c>
    </x:row>
    <x:row r="32">
      <x:c r="A32" t="str">
        <x:v>Income | Operating income</x:v>
      </x:c>
      <x:c r="B32" t="n">
        <x:v>2023</x:v>
      </x:c>
      <x:c r="C32" s="53" t="n">
        <x:v>21689</x:v>
      </x:c>
      <x:c r="D32" t="str">
        <x:v>USD millions</x:v>
      </x:c>
      <x:c r="E32" t="str">
        <x:v>Form 10-K: Consolidated Statements of Earnings</x:v>
      </x:c>
      <x:c r="F32" t="str">
        <x:v>39</x:v>
      </x:c>
      <x:c r="G32" t="str">
        <x:v>https://www.sec.gov/Archives/edgar/data/354950/000035495024000062/hd-20240128.htm</x:v>
      </x:c>
      <x:c r="H32" t="str">
        <x:v>D11</x:v>
      </x:c>
    </x:row>
    <x:row r="33">
      <x:c r="A33" t="str">
        <x:v>Income | Operating income</x:v>
      </x:c>
      <x:c r="B33" t="n">
        <x:v>2024</x:v>
      </x:c>
      <x:c r="C33" s="53" t="n">
        <x:v>21526</x:v>
      </x:c>
      <x:c r="D33" t="str">
        <x:v>USD millions</x:v>
      </x:c>
      <x:c r="E33" t="str">
        <x:v>Form 10-K: Consolidated Statements of Earnings</x:v>
      </x:c>
      <x:c r="F33" t="str">
        <x:v>40</x:v>
      </x:c>
      <x:c r="G33" t="str">
        <x:v>https://www.sec.gov/Archives/edgar/data/354950/000162828026019436/hd-20260201.htm</x:v>
      </x:c>
      <x:c r="H33" t="str">
        <x:v>E11</x:v>
      </x:c>
    </x:row>
    <x:row r="34">
      <x:c r="A34" t="str">
        <x:v>Income | Operating income</x:v>
      </x:c>
      <x:c r="B34" t="n">
        <x:v>2025</x:v>
      </x:c>
      <x:c r="C34" s="53" t="n">
        <x:v>20890</x:v>
      </x:c>
      <x:c r="D34" t="str">
        <x:v>USD millions</x:v>
      </x:c>
      <x:c r="E34" t="str">
        <x:v>Form 10-K: Consolidated Statements of Earnings</x:v>
      </x:c>
      <x:c r="F34" t="str">
        <x:v>40</x:v>
      </x:c>
      <x:c r="G34" t="str">
        <x:v>https://www.sec.gov/Archives/edgar/data/354950/000162828026019436/hd-20260201.htm</x:v>
      </x:c>
      <x:c r="H34" t="str">
        <x:v>F11</x:v>
      </x:c>
    </x:row>
    <x:row r="35">
      <x:c r="A35" t="str">
        <x:v>Income | Net interest and other</x:v>
      </x:c>
      <x:c r="B35" t="n">
        <x:v>2021</x:v>
      </x:c>
      <x:c r="C35" s="53" t="n">
        <x:v>1303</x:v>
      </x:c>
      <x:c r="D35" t="str">
        <x:v>USD millions</x:v>
      </x:c>
      <x:c r="E35" t="str">
        <x:v>Form 10-K: Consolidated Statements of Earnings</x:v>
      </x:c>
      <x:c r="F35" t="str">
        <x:v>39</x:v>
      </x:c>
      <x:c r="G35" t="str">
        <x:v>https://www.sec.gov/Archives/edgar/data/354950/000035495024000062/hd-20240128.htm</x:v>
      </x:c>
      <x:c r="H35" t="str">
        <x:v>B12</x:v>
      </x:c>
    </x:row>
    <x:row r="36">
      <x:c r="A36" t="str">
        <x:v>Income | Net interest and other</x:v>
      </x:c>
      <x:c r="B36" t="n">
        <x:v>2022</x:v>
      </x:c>
      <x:c r="C36" s="53" t="n">
        <x:v>1562</x:v>
      </x:c>
      <x:c r="D36" t="str">
        <x:v>USD millions</x:v>
      </x:c>
      <x:c r="E36" t="str">
        <x:v>Form 10-K: Consolidated Statements of Earnings</x:v>
      </x:c>
      <x:c r="F36" t="str">
        <x:v>39</x:v>
      </x:c>
      <x:c r="G36" t="str">
        <x:v>https://www.sec.gov/Archives/edgar/data/354950/000035495024000062/hd-20240128.htm</x:v>
      </x:c>
      <x:c r="H36" t="str">
        <x:v>C12</x:v>
      </x:c>
    </x:row>
    <x:row r="37">
      <x:c r="A37" t="str">
        <x:v>Income | Net interest and other</x:v>
      </x:c>
      <x:c r="B37" t="n">
        <x:v>2023</x:v>
      </x:c>
      <x:c r="C37" s="53" t="n">
        <x:v>1765</x:v>
      </x:c>
      <x:c r="D37" t="str">
        <x:v>USD millions</x:v>
      </x:c>
      <x:c r="E37" t="str">
        <x:v>Form 10-K: Consolidated Statements of Earnings</x:v>
      </x:c>
      <x:c r="F37" t="str">
        <x:v>39</x:v>
      </x:c>
      <x:c r="G37" t="str">
        <x:v>https://www.sec.gov/Archives/edgar/data/354950/000035495024000062/hd-20240128.htm</x:v>
      </x:c>
      <x:c r="H37" t="str">
        <x:v>D12</x:v>
      </x:c>
    </x:row>
    <x:row r="38">
      <x:c r="A38" t="str">
        <x:v>Income | Net interest and other</x:v>
      </x:c>
      <x:c r="B38" t="n">
        <x:v>2024</x:v>
      </x:c>
      <x:c r="C38" s="53" t="n">
        <x:v>2120</x:v>
      </x:c>
      <x:c r="D38" t="str">
        <x:v>USD millions</x:v>
      </x:c>
      <x:c r="E38" t="str">
        <x:v>Form 10-K: Consolidated Statements of Earnings</x:v>
      </x:c>
      <x:c r="F38" t="str">
        <x:v>40</x:v>
      </x:c>
      <x:c r="G38" t="str">
        <x:v>https://www.sec.gov/Archives/edgar/data/354950/000162828026019436/hd-20260201.htm</x:v>
      </x:c>
      <x:c r="H38" t="str">
        <x:v>E12</x:v>
      </x:c>
    </x:row>
    <x:row r="39">
      <x:c r="A39" t="str">
        <x:v>Income | Net interest and other</x:v>
      </x:c>
      <x:c r="B39" t="n">
        <x:v>2025</x:v>
      </x:c>
      <x:c r="C39" s="53" t="n">
        <x:v>2288</x:v>
      </x:c>
      <x:c r="D39" t="str">
        <x:v>USD millions</x:v>
      </x:c>
      <x:c r="E39" t="str">
        <x:v>Form 10-K: Consolidated Statements of Earnings</x:v>
      </x:c>
      <x:c r="F39" t="str">
        <x:v>40</x:v>
      </x:c>
      <x:c r="G39" t="str">
        <x:v>https://www.sec.gov/Archives/edgar/data/354950/000162828026019436/hd-20260201.htm</x:v>
      </x:c>
      <x:c r="H39" t="str">
        <x:v>F12</x:v>
      </x:c>
    </x:row>
    <x:row r="40">
      <x:c r="A40" t="str">
        <x:v>Income | Pretax income</x:v>
      </x:c>
      <x:c r="B40" t="n">
        <x:v>2021</x:v>
      </x:c>
      <x:c r="C40" s="53" t="n">
        <x:v>21737</x:v>
      </x:c>
      <x:c r="D40" t="str">
        <x:v>USD millions</x:v>
      </x:c>
      <x:c r="E40" t="str">
        <x:v>Form 10-K: Consolidated Statements of Earnings</x:v>
      </x:c>
      <x:c r="F40" t="str">
        <x:v>39</x:v>
      </x:c>
      <x:c r="G40" t="str">
        <x:v>https://www.sec.gov/Archives/edgar/data/354950/000035495024000062/hd-20240128.htm</x:v>
      </x:c>
      <x:c r="H40" t="str">
        <x:v>B13</x:v>
      </x:c>
    </x:row>
    <x:row r="41">
      <x:c r="A41" t="str">
        <x:v>Income | Pretax income</x:v>
      </x:c>
      <x:c r="B41" t="n">
        <x:v>2022</x:v>
      </x:c>
      <x:c r="C41" s="53" t="n">
        <x:v>22477</x:v>
      </x:c>
      <x:c r="D41" t="str">
        <x:v>USD millions</x:v>
      </x:c>
      <x:c r="E41" t="str">
        <x:v>Form 10-K: Consolidated Statements of Earnings</x:v>
      </x:c>
      <x:c r="F41" t="str">
        <x:v>39</x:v>
      </x:c>
      <x:c r="G41" t="str">
        <x:v>https://www.sec.gov/Archives/edgar/data/354950/000035495024000062/hd-20240128.htm</x:v>
      </x:c>
      <x:c r="H41" t="str">
        <x:v>C13</x:v>
      </x:c>
    </x:row>
    <x:row r="42">
      <x:c r="A42" t="str">
        <x:v>Income | Pretax income</x:v>
      </x:c>
      <x:c r="B42" t="n">
        <x:v>2023</x:v>
      </x:c>
      <x:c r="C42" s="53" t="n">
        <x:v>19924</x:v>
      </x:c>
      <x:c r="D42" t="str">
        <x:v>USD millions</x:v>
      </x:c>
      <x:c r="E42" t="str">
        <x:v>Form 10-K: Consolidated Statements of Earnings</x:v>
      </x:c>
      <x:c r="F42" t="str">
        <x:v>39</x:v>
      </x:c>
      <x:c r="G42" t="str">
        <x:v>https://www.sec.gov/Archives/edgar/data/354950/000035495024000062/hd-20240128.htm</x:v>
      </x:c>
      <x:c r="H42" t="str">
        <x:v>D13</x:v>
      </x:c>
    </x:row>
    <x:row r="43">
      <x:c r="A43" t="str">
        <x:v>Income | Pretax income</x:v>
      </x:c>
      <x:c r="B43" t="n">
        <x:v>2024</x:v>
      </x:c>
      <x:c r="C43" s="53" t="n">
        <x:v>19406</x:v>
      </x:c>
      <x:c r="D43" t="str">
        <x:v>USD millions</x:v>
      </x:c>
      <x:c r="E43" t="str">
        <x:v>Form 10-K: Consolidated Statements of Earnings</x:v>
      </x:c>
      <x:c r="F43" t="str">
        <x:v>40</x:v>
      </x:c>
      <x:c r="G43" t="str">
        <x:v>https://www.sec.gov/Archives/edgar/data/354950/000162828026019436/hd-20260201.htm</x:v>
      </x:c>
      <x:c r="H43" t="str">
        <x:v>E13</x:v>
      </x:c>
    </x:row>
    <x:row r="44">
      <x:c r="A44" t="str">
        <x:v>Income | Pretax income</x:v>
      </x:c>
      <x:c r="B44" t="n">
        <x:v>2025</x:v>
      </x:c>
      <x:c r="C44" s="53" t="n">
        <x:v>18602</x:v>
      </x:c>
      <x:c r="D44" t="str">
        <x:v>USD millions</x:v>
      </x:c>
      <x:c r="E44" t="str">
        <x:v>Form 10-K: Consolidated Statements of Earnings</x:v>
      </x:c>
      <x:c r="F44" t="str">
        <x:v>40</x:v>
      </x:c>
      <x:c r="G44" t="str">
        <x:v>https://www.sec.gov/Archives/edgar/data/354950/000162828026019436/hd-20260201.htm</x:v>
      </x:c>
      <x:c r="H44" t="str">
        <x:v>F13</x:v>
      </x:c>
    </x:row>
    <x:row r="45">
      <x:c r="A45" t="str">
        <x:v>Income | Income tax expense</x:v>
      </x:c>
      <x:c r="B45" t="n">
        <x:v>2021</x:v>
      </x:c>
      <x:c r="C45" s="53" t="n">
        <x:v>5304</x:v>
      </x:c>
      <x:c r="D45" t="str">
        <x:v>USD millions</x:v>
      </x:c>
      <x:c r="E45" t="str">
        <x:v>Form 10-K: Consolidated Statements of Earnings</x:v>
      </x:c>
      <x:c r="F45" t="str">
        <x:v>39</x:v>
      </x:c>
      <x:c r="G45" t="str">
        <x:v>https://www.sec.gov/Archives/edgar/data/354950/000035495024000062/hd-20240128.htm</x:v>
      </x:c>
      <x:c r="H45" t="str">
        <x:v>B14</x:v>
      </x:c>
    </x:row>
    <x:row r="46">
      <x:c r="A46" t="str">
        <x:v>Income | Income tax expense</x:v>
      </x:c>
      <x:c r="B46" t="n">
        <x:v>2022</x:v>
      </x:c>
      <x:c r="C46" s="53" t="n">
        <x:v>5372</x:v>
      </x:c>
      <x:c r="D46" t="str">
        <x:v>USD millions</x:v>
      </x:c>
      <x:c r="E46" t="str">
        <x:v>Form 10-K: Consolidated Statements of Earnings</x:v>
      </x:c>
      <x:c r="F46" t="str">
        <x:v>39</x:v>
      </x:c>
      <x:c r="G46" t="str">
        <x:v>https://www.sec.gov/Archives/edgar/data/354950/000035495024000062/hd-20240128.htm</x:v>
      </x:c>
      <x:c r="H46" t="str">
        <x:v>C14</x:v>
      </x:c>
    </x:row>
    <x:row r="47">
      <x:c r="A47" t="str">
        <x:v>Income | Income tax expense</x:v>
      </x:c>
      <x:c r="B47" t="n">
        <x:v>2023</x:v>
      </x:c>
      <x:c r="C47" s="53" t="n">
        <x:v>4781</x:v>
      </x:c>
      <x:c r="D47" t="str">
        <x:v>USD millions</x:v>
      </x:c>
      <x:c r="E47" t="str">
        <x:v>Form 10-K: Consolidated Statements of Earnings</x:v>
      </x:c>
      <x:c r="F47" t="str">
        <x:v>39</x:v>
      </x:c>
      <x:c r="G47" t="str">
        <x:v>https://www.sec.gov/Archives/edgar/data/354950/000035495024000062/hd-20240128.htm</x:v>
      </x:c>
      <x:c r="H47" t="str">
        <x:v>D14</x:v>
      </x:c>
    </x:row>
    <x:row r="48">
      <x:c r="A48" t="str">
        <x:v>Income | Income tax expense</x:v>
      </x:c>
      <x:c r="B48" t="n">
        <x:v>2024</x:v>
      </x:c>
      <x:c r="C48" s="53" t="n">
        <x:v>4600</x:v>
      </x:c>
      <x:c r="D48" t="str">
        <x:v>USD millions</x:v>
      </x:c>
      <x:c r="E48" t="str">
        <x:v>Form 10-K: Consolidated Statements of Earnings</x:v>
      </x:c>
      <x:c r="F48" t="str">
        <x:v>40</x:v>
      </x:c>
      <x:c r="G48" t="str">
        <x:v>https://www.sec.gov/Archives/edgar/data/354950/000162828026019436/hd-20260201.htm</x:v>
      </x:c>
      <x:c r="H48" t="str">
        <x:v>E14</x:v>
      </x:c>
    </x:row>
    <x:row r="49">
      <x:c r="A49" t="str">
        <x:v>Income | Income tax expense</x:v>
      </x:c>
      <x:c r="B49" t="n">
        <x:v>2025</x:v>
      </x:c>
      <x:c r="C49" s="53" t="n">
        <x:v>4446</x:v>
      </x:c>
      <x:c r="D49" t="str">
        <x:v>USD millions</x:v>
      </x:c>
      <x:c r="E49" t="str">
        <x:v>Form 10-K: Consolidated Statements of Earnings</x:v>
      </x:c>
      <x:c r="F49" t="str">
        <x:v>40</x:v>
      </x:c>
      <x:c r="G49" t="str">
        <x:v>https://www.sec.gov/Archives/edgar/data/354950/000162828026019436/hd-20260201.htm</x:v>
      </x:c>
      <x:c r="H49" t="str">
        <x:v>F14</x:v>
      </x:c>
    </x:row>
    <x:row r="50">
      <x:c r="A50" t="str">
        <x:v>Income | Net income</x:v>
      </x:c>
      <x:c r="B50" t="n">
        <x:v>2021</x:v>
      </x:c>
      <x:c r="C50" s="53" t="n">
        <x:v>16433</x:v>
      </x:c>
      <x:c r="D50" t="str">
        <x:v>USD millions</x:v>
      </x:c>
      <x:c r="E50" t="str">
        <x:v>Form 10-K: Consolidated Statements of Earnings</x:v>
      </x:c>
      <x:c r="F50" t="str">
        <x:v>39</x:v>
      </x:c>
      <x:c r="G50" t="str">
        <x:v>https://www.sec.gov/Archives/edgar/data/354950/000035495024000062/hd-20240128.htm</x:v>
      </x:c>
      <x:c r="H50" t="str">
        <x:v>B15</x:v>
      </x:c>
    </x:row>
    <x:row r="51">
      <x:c r="A51" t="str">
        <x:v>Income | Net income</x:v>
      </x:c>
      <x:c r="B51" t="n">
        <x:v>2022</x:v>
      </x:c>
      <x:c r="C51" s="53" t="n">
        <x:v>17105</x:v>
      </x:c>
      <x:c r="D51" t="str">
        <x:v>USD millions</x:v>
      </x:c>
      <x:c r="E51" t="str">
        <x:v>Form 10-K: Consolidated Statements of Earnings</x:v>
      </x:c>
      <x:c r="F51" t="str">
        <x:v>39</x:v>
      </x:c>
      <x:c r="G51" t="str">
        <x:v>https://www.sec.gov/Archives/edgar/data/354950/000035495024000062/hd-20240128.htm</x:v>
      </x:c>
      <x:c r="H51" t="str">
        <x:v>C15</x:v>
      </x:c>
    </x:row>
    <x:row r="52">
      <x:c r="A52" t="str">
        <x:v>Income | Net income</x:v>
      </x:c>
      <x:c r="B52" t="n">
        <x:v>2023</x:v>
      </x:c>
      <x:c r="C52" s="53" t="n">
        <x:v>15143</x:v>
      </x:c>
      <x:c r="D52" t="str">
        <x:v>USD millions</x:v>
      </x:c>
      <x:c r="E52" t="str">
        <x:v>Form 10-K: Consolidated Statements of Earnings</x:v>
      </x:c>
      <x:c r="F52" t="str">
        <x:v>39</x:v>
      </x:c>
      <x:c r="G52" t="str">
        <x:v>https://www.sec.gov/Archives/edgar/data/354950/000035495024000062/hd-20240128.htm</x:v>
      </x:c>
      <x:c r="H52" t="str">
        <x:v>D15</x:v>
      </x:c>
    </x:row>
    <x:row r="53">
      <x:c r="A53" t="str">
        <x:v>Income | Net income</x:v>
      </x:c>
      <x:c r="B53" t="n">
        <x:v>2024</x:v>
      </x:c>
      <x:c r="C53" s="53" t="n">
        <x:v>14806</x:v>
      </x:c>
      <x:c r="D53" t="str">
        <x:v>USD millions</x:v>
      </x:c>
      <x:c r="E53" t="str">
        <x:v>Form 10-K: Consolidated Statements of Earnings</x:v>
      </x:c>
      <x:c r="F53" t="str">
        <x:v>40</x:v>
      </x:c>
      <x:c r="G53" t="str">
        <x:v>https://www.sec.gov/Archives/edgar/data/354950/000162828026019436/hd-20260201.htm</x:v>
      </x:c>
      <x:c r="H53" t="str">
        <x:v>E15</x:v>
      </x:c>
    </x:row>
    <x:row r="54">
      <x:c r="A54" t="str">
        <x:v>Income | Net income</x:v>
      </x:c>
      <x:c r="B54" t="n">
        <x:v>2025</x:v>
      </x:c>
      <x:c r="C54" s="53" t="n">
        <x:v>14156</x:v>
      </x:c>
      <x:c r="D54" t="str">
        <x:v>USD millions</x:v>
      </x:c>
      <x:c r="E54" t="str">
        <x:v>Form 10-K: Consolidated Statements of Earnings</x:v>
      </x:c>
      <x:c r="F54" t="str">
        <x:v>40</x:v>
      </x:c>
      <x:c r="G54" t="str">
        <x:v>https://www.sec.gov/Archives/edgar/data/354950/000162828026019436/hd-20260201.htm</x:v>
      </x:c>
      <x:c r="H54" t="str">
        <x:v>F15</x:v>
      </x:c>
    </x:row>
    <x:row r="55">
      <x:c r="A55" t="str">
        <x:v>Income | Diluted weighted-average shares</x:v>
      </x:c>
      <x:c r="B55" t="n">
        <x:v>2021</x:v>
      </x:c>
      <x:c r="C55" s="53" t="n">
        <x:v>1058</x:v>
      </x:c>
      <x:c r="D55" t="str">
        <x:v>Million shares</x:v>
      </x:c>
      <x:c r="E55" t="str">
        <x:v>Form 10-K: Consolidated Statements of Earnings</x:v>
      </x:c>
      <x:c r="F55" t="str">
        <x:v>39</x:v>
      </x:c>
      <x:c r="G55" t="str">
        <x:v>https://www.sec.gov/Archives/edgar/data/354950/000035495024000062/hd-20240128.htm</x:v>
      </x:c>
      <x:c r="H55" t="str">
        <x:v>B16</x:v>
      </x:c>
    </x:row>
    <x:row r="56">
      <x:c r="A56" t="str">
        <x:v>Income | Diluted weighted-average shares</x:v>
      </x:c>
      <x:c r="B56" t="n">
        <x:v>2022</x:v>
      </x:c>
      <x:c r="C56" s="53" t="n">
        <x:v>1025</x:v>
      </x:c>
      <x:c r="D56" t="str">
        <x:v>Million shares</x:v>
      </x:c>
      <x:c r="E56" t="str">
        <x:v>Form 10-K: Consolidated Statements of Earnings</x:v>
      </x:c>
      <x:c r="F56" t="str">
        <x:v>39</x:v>
      </x:c>
      <x:c r="G56" t="str">
        <x:v>https://www.sec.gov/Archives/edgar/data/354950/000035495024000062/hd-20240128.htm</x:v>
      </x:c>
      <x:c r="H56" t="str">
        <x:v>C16</x:v>
      </x:c>
    </x:row>
    <x:row r="57">
      <x:c r="A57" t="str">
        <x:v>Income | Diluted weighted-average shares</x:v>
      </x:c>
      <x:c r="B57" t="n">
        <x:v>2023</x:v>
      </x:c>
      <x:c r="C57" s="53" t="n">
        <x:v>1002</x:v>
      </x:c>
      <x:c r="D57" t="str">
        <x:v>Million shares</x:v>
      </x:c>
      <x:c r="E57" t="str">
        <x:v>Form 10-K: Consolidated Statements of Earnings</x:v>
      </x:c>
      <x:c r="F57" t="str">
        <x:v>39</x:v>
      </x:c>
      <x:c r="G57" t="str">
        <x:v>https://www.sec.gov/Archives/edgar/data/354950/000035495024000062/hd-20240128.htm</x:v>
      </x:c>
      <x:c r="H57" t="str">
        <x:v>D16</x:v>
      </x:c>
    </x:row>
    <x:row r="58">
      <x:c r="A58" t="str">
        <x:v>Income | Diluted weighted-average shares</x:v>
      </x:c>
      <x:c r="B58" t="n">
        <x:v>2024</x:v>
      </x:c>
      <x:c r="C58" s="53" t="n">
        <x:v>993</x:v>
      </x:c>
      <x:c r="D58" t="str">
        <x:v>Million shares</x:v>
      </x:c>
      <x:c r="E58" t="str">
        <x:v>Form 10-K: Consolidated Statements of Earnings</x:v>
      </x:c>
      <x:c r="F58" t="str">
        <x:v>40</x:v>
      </x:c>
      <x:c r="G58" t="str">
        <x:v>https://www.sec.gov/Archives/edgar/data/354950/000162828026019436/hd-20260201.htm</x:v>
      </x:c>
      <x:c r="H58" t="str">
        <x:v>E16</x:v>
      </x:c>
    </x:row>
    <x:row r="59">
      <x:c r="A59" t="str">
        <x:v>Income | Diluted weighted-average shares</x:v>
      </x:c>
      <x:c r="B59" t="n">
        <x:v>2025</x:v>
      </x:c>
      <x:c r="C59" s="53" t="n">
        <x:v>995</x:v>
      </x:c>
      <x:c r="D59" t="str">
        <x:v>Million shares</x:v>
      </x:c>
      <x:c r="E59" t="str">
        <x:v>Form 10-K: Consolidated Statements of Earnings</x:v>
      </x:c>
      <x:c r="F59" t="str">
        <x:v>40</x:v>
      </x:c>
      <x:c r="G59" t="str">
        <x:v>https://www.sec.gov/Archives/edgar/data/354950/000162828026019436/hd-20260201.htm</x:v>
      </x:c>
      <x:c r="H59" t="str">
        <x:v>F16</x:v>
      </x:c>
    </x:row>
    <x:row r="60">
      <x:c r="A60" t="str">
        <x:v>Income | Diluted EPS</x:v>
      </x:c>
      <x:c r="B60" t="n">
        <x:v>2021</x:v>
      </x:c>
      <x:c r="C60" s="53" t="n">
        <x:v>15.53</x:v>
      </x:c>
      <x:c r="D60" t="str">
        <x:v>USD per share</x:v>
      </x:c>
      <x:c r="E60" t="str">
        <x:v>Form 10-K: Consolidated Statements of Earnings</x:v>
      </x:c>
      <x:c r="F60" t="str">
        <x:v>39</x:v>
      </x:c>
      <x:c r="G60" t="str">
        <x:v>https://www.sec.gov/Archives/edgar/data/354950/000035495024000062/hd-20240128.htm</x:v>
      </x:c>
      <x:c r="H60" t="str">
        <x:v>B17</x:v>
      </x:c>
    </x:row>
    <x:row r="61">
      <x:c r="A61" t="str">
        <x:v>Income | Diluted EPS</x:v>
      </x:c>
      <x:c r="B61" t="n">
        <x:v>2022</x:v>
      </x:c>
      <x:c r="C61" s="53" t="n">
        <x:v>16.69</x:v>
      </x:c>
      <x:c r="D61" t="str">
        <x:v>USD per share</x:v>
      </x:c>
      <x:c r="E61" t="str">
        <x:v>Form 10-K: Consolidated Statements of Earnings</x:v>
      </x:c>
      <x:c r="F61" t="str">
        <x:v>39</x:v>
      </x:c>
      <x:c r="G61" t="str">
        <x:v>https://www.sec.gov/Archives/edgar/data/354950/000035495024000062/hd-20240128.htm</x:v>
      </x:c>
      <x:c r="H61" t="str">
        <x:v>C17</x:v>
      </x:c>
    </x:row>
    <x:row r="62">
      <x:c r="A62" t="str">
        <x:v>Income | Diluted EPS</x:v>
      </x:c>
      <x:c r="B62" t="n">
        <x:v>2023</x:v>
      </x:c>
      <x:c r="C62" s="53" t="n">
        <x:v>15.11</x:v>
      </x:c>
      <x:c r="D62" t="str">
        <x:v>USD per share</x:v>
      </x:c>
      <x:c r="E62" t="str">
        <x:v>Form 10-K: Consolidated Statements of Earnings</x:v>
      </x:c>
      <x:c r="F62" t="str">
        <x:v>39</x:v>
      </x:c>
      <x:c r="G62" t="str">
        <x:v>https://www.sec.gov/Archives/edgar/data/354950/000035495024000062/hd-20240128.htm</x:v>
      </x:c>
      <x:c r="H62" t="str">
        <x:v>D17</x:v>
      </x:c>
    </x:row>
    <x:row r="63">
      <x:c r="A63" t="str">
        <x:v>Income | Diluted EPS</x:v>
      </x:c>
      <x:c r="B63" t="n">
        <x:v>2024</x:v>
      </x:c>
      <x:c r="C63" s="53" t="n">
        <x:v>14.91</x:v>
      </x:c>
      <x:c r="D63" t="str">
        <x:v>USD per share</x:v>
      </x:c>
      <x:c r="E63" t="str">
        <x:v>Form 10-K: Consolidated Statements of Earnings</x:v>
      </x:c>
      <x:c r="F63" t="str">
        <x:v>40</x:v>
      </x:c>
      <x:c r="G63" t="str">
        <x:v>https://www.sec.gov/Archives/edgar/data/354950/000162828026019436/hd-20260201.htm</x:v>
      </x:c>
      <x:c r="H63" t="str">
        <x:v>E17</x:v>
      </x:c>
    </x:row>
    <x:row r="64">
      <x:c r="A64" t="str">
        <x:v>Income | Diluted EPS</x:v>
      </x:c>
      <x:c r="B64" t="n">
        <x:v>2025</x:v>
      </x:c>
      <x:c r="C64" s="53" t="n">
        <x:v>14.23</x:v>
      </x:c>
      <x:c r="D64" t="str">
        <x:v>USD per share</x:v>
      </x:c>
      <x:c r="E64" t="str">
        <x:v>Form 10-K: Consolidated Statements of Earnings</x:v>
      </x:c>
      <x:c r="F64" t="str">
        <x:v>40</x:v>
      </x:c>
      <x:c r="G64" t="str">
        <x:v>https://www.sec.gov/Archives/edgar/data/354950/000162828026019436/hd-20260201.htm</x:v>
      </x:c>
      <x:c r="H64" t="str">
        <x:v>F17</x:v>
      </x:c>
    </x:row>
    <x:row r="65">
      <x:c r="A65" t="str">
        <x:v>Balance Sheet | Cash</x:v>
      </x:c>
      <x:c r="B65" t="n">
        <x:v>2021</x:v>
      </x:c>
      <x:c r="C65" s="53" t="n">
        <x:v>2343</x:v>
      </x:c>
      <x:c r="D65" t="str">
        <x:v>USD millions</x:v>
      </x:c>
      <x:c r="E65" t="str">
        <x:v>Form 10-K: Consolidated Balance Sheets</x:v>
      </x:c>
      <x:c r="F65" t="str">
        <x:v>36</x:v>
      </x:c>
      <x:c r="G65" t="str">
        <x:v>https://www.sec.gov/Archives/edgar/data/354950/000035495023000059/hd-20230129.htm</x:v>
      </x:c>
      <x:c r="H65" t="str">
        <x:v>B20</x:v>
      </x:c>
    </x:row>
    <x:row r="66">
      <x:c r="A66" t="str">
        <x:v>Balance Sheet | Cash</x:v>
      </x:c>
      <x:c r="B66" t="n">
        <x:v>2022</x:v>
      </x:c>
      <x:c r="C66" s="53" t="n">
        <x:v>2757</x:v>
      </x:c>
      <x:c r="D66" t="str">
        <x:v>USD millions</x:v>
      </x:c>
      <x:c r="E66" t="str">
        <x:v>Form 10-K: Consolidated Balance Sheets</x:v>
      </x:c>
      <x:c r="F66" t="str">
        <x:v>38</x:v>
      </x:c>
      <x:c r="G66" t="str">
        <x:v>https://www.sec.gov/Archives/edgar/data/354950/000035495024000062/hd-20240128.htm</x:v>
      </x:c>
      <x:c r="H66" t="str">
        <x:v>C20</x:v>
      </x:c>
    </x:row>
    <x:row r="67">
      <x:c r="A67" t="str">
        <x:v>Balance Sheet | Cash</x:v>
      </x:c>
      <x:c r="B67" t="n">
        <x:v>2023</x:v>
      </x:c>
      <x:c r="C67" s="53" t="n">
        <x:v>3760</x:v>
      </x:c>
      <x:c r="D67" t="str">
        <x:v>USD millions</x:v>
      </x:c>
      <x:c r="E67" t="str">
        <x:v>Form 10-K: Consolidated Balance Sheets</x:v>
      </x:c>
      <x:c r="F67" t="str">
        <x:v>38</x:v>
      </x:c>
      <x:c r="G67" t="str">
        <x:v>https://www.sec.gov/Archives/edgar/data/354950/000035495024000062/hd-20240128.htm</x:v>
      </x:c>
      <x:c r="H67" t="str">
        <x:v>D20</x:v>
      </x:c>
    </x:row>
    <x:row r="68">
      <x:c r="A68" t="str">
        <x:v>Balance Sheet | Cash</x:v>
      </x:c>
      <x:c r="B68" t="n">
        <x:v>2024</x:v>
      </x:c>
      <x:c r="C68" s="53" t="n">
        <x:v>1659</x:v>
      </x:c>
      <x:c r="D68" t="str">
        <x:v>USD millions</x:v>
      </x:c>
      <x:c r="E68" t="str">
        <x:v>Form 10-K: Consolidated Balance Sheets</x:v>
      </x:c>
      <x:c r="F68" t="str">
        <x:v>39</x:v>
      </x:c>
      <x:c r="G68" t="str">
        <x:v>https://www.sec.gov/Archives/edgar/data/354950/000162828026019436/hd-20260201.htm</x:v>
      </x:c>
      <x:c r="H68" t="str">
        <x:v>E20</x:v>
      </x:c>
    </x:row>
    <x:row r="69">
      <x:c r="A69" t="str">
        <x:v>Balance Sheet | Cash</x:v>
      </x:c>
      <x:c r="B69" t="n">
        <x:v>2025</x:v>
      </x:c>
      <x:c r="C69" s="53" t="n">
        <x:v>1389</x:v>
      </x:c>
      <x:c r="D69" t="str">
        <x:v>USD millions</x:v>
      </x:c>
      <x:c r="E69" t="str">
        <x:v>Form 10-K: Consolidated Balance Sheets</x:v>
      </x:c>
      <x:c r="F69" t="str">
        <x:v>39</x:v>
      </x:c>
      <x:c r="G69" t="str">
        <x:v>https://www.sec.gov/Archives/edgar/data/354950/000162828026019436/hd-20260201.htm</x:v>
      </x:c>
      <x:c r="H69" t="str">
        <x:v>F20</x:v>
      </x:c>
    </x:row>
    <x:row r="70">
      <x:c r="A70" t="str">
        <x:v>Balance Sheet | Receivables</x:v>
      </x:c>
      <x:c r="B70" t="n">
        <x:v>2021</x:v>
      </x:c>
      <x:c r="C70" s="53" t="n">
        <x:v>3426</x:v>
      </x:c>
      <x:c r="D70" t="str">
        <x:v>USD millions</x:v>
      </x:c>
      <x:c r="E70" t="str">
        <x:v>Form 10-K: Consolidated Balance Sheets</x:v>
      </x:c>
      <x:c r="F70" t="str">
        <x:v>36</x:v>
      </x:c>
      <x:c r="G70" t="str">
        <x:v>https://www.sec.gov/Archives/edgar/data/354950/000035495023000059/hd-20230129.htm</x:v>
      </x:c>
      <x:c r="H70" t="str">
        <x:v>B21</x:v>
      </x:c>
    </x:row>
    <x:row r="71">
      <x:c r="A71" t="str">
        <x:v>Balance Sheet | Receivables</x:v>
      </x:c>
      <x:c r="B71" t="n">
        <x:v>2022</x:v>
      </x:c>
      <x:c r="C71" s="53" t="n">
        <x:v>3317</x:v>
      </x:c>
      <x:c r="D71" t="str">
        <x:v>USD millions</x:v>
      </x:c>
      <x:c r="E71" t="str">
        <x:v>Form 10-K: Consolidated Balance Sheets</x:v>
      </x:c>
      <x:c r="F71" t="str">
        <x:v>38</x:v>
      </x:c>
      <x:c r="G71" t="str">
        <x:v>https://www.sec.gov/Archives/edgar/data/354950/000035495024000062/hd-20240128.htm</x:v>
      </x:c>
      <x:c r="H71" t="str">
        <x:v>C21</x:v>
      </x:c>
    </x:row>
    <x:row r="72">
      <x:c r="A72" t="str">
        <x:v>Balance Sheet | Receivables</x:v>
      </x:c>
      <x:c r="B72" t="n">
        <x:v>2023</x:v>
      </x:c>
      <x:c r="C72" s="53" t="n">
        <x:v>3328</x:v>
      </x:c>
      <x:c r="D72" t="str">
        <x:v>USD millions</x:v>
      </x:c>
      <x:c r="E72" t="str">
        <x:v>Form 10-K: Consolidated Balance Sheets</x:v>
      </x:c>
      <x:c r="F72" t="str">
        <x:v>38</x:v>
      </x:c>
      <x:c r="G72" t="str">
        <x:v>https://www.sec.gov/Archives/edgar/data/354950/000035495024000062/hd-20240128.htm</x:v>
      </x:c>
      <x:c r="H72" t="str">
        <x:v>D21</x:v>
      </x:c>
    </x:row>
    <x:row r="73">
      <x:c r="A73" t="str">
        <x:v>Balance Sheet | Receivables</x:v>
      </x:c>
      <x:c r="B73" t="n">
        <x:v>2024</x:v>
      </x:c>
      <x:c r="C73" s="53" t="n">
        <x:v>4903</x:v>
      </x:c>
      <x:c r="D73" t="str">
        <x:v>USD millions</x:v>
      </x:c>
      <x:c r="E73" t="str">
        <x:v>Form 10-K: Consolidated Balance Sheets</x:v>
      </x:c>
      <x:c r="F73" t="str">
        <x:v>39</x:v>
      </x:c>
      <x:c r="G73" t="str">
        <x:v>https://www.sec.gov/Archives/edgar/data/354950/000162828026019436/hd-20260201.htm</x:v>
      </x:c>
      <x:c r="H73" t="str">
        <x:v>E21</x:v>
      </x:c>
    </x:row>
    <x:row r="74">
      <x:c r="A74" t="str">
        <x:v>Balance Sheet | Receivables</x:v>
      </x:c>
      <x:c r="B74" t="n">
        <x:v>2025</x:v>
      </x:c>
      <x:c r="C74" s="53" t="n">
        <x:v>5597</x:v>
      </x:c>
      <x:c r="D74" t="str">
        <x:v>USD millions</x:v>
      </x:c>
      <x:c r="E74" t="str">
        <x:v>Form 10-K: Consolidated Balance Sheets</x:v>
      </x:c>
      <x:c r="F74" t="str">
        <x:v>39</x:v>
      </x:c>
      <x:c r="G74" t="str">
        <x:v>https://www.sec.gov/Archives/edgar/data/354950/000162828026019436/hd-20260201.htm</x:v>
      </x:c>
      <x:c r="H74" t="str">
        <x:v>F21</x:v>
      </x:c>
    </x:row>
    <x:row r="75">
      <x:c r="A75" t="str">
        <x:v>Balance Sheet | Inventory</x:v>
      </x:c>
      <x:c r="B75" t="n">
        <x:v>2021</x:v>
      </x:c>
      <x:c r="C75" s="53" t="n">
        <x:v>22068</x:v>
      </x:c>
      <x:c r="D75" t="str">
        <x:v>USD millions</x:v>
      </x:c>
      <x:c r="E75" t="str">
        <x:v>Form 10-K: Consolidated Balance Sheets</x:v>
      </x:c>
      <x:c r="F75" t="str">
        <x:v>36</x:v>
      </x:c>
      <x:c r="G75" t="str">
        <x:v>https://www.sec.gov/Archives/edgar/data/354950/000035495023000059/hd-20230129.htm</x:v>
      </x:c>
      <x:c r="H75" t="str">
        <x:v>B22</x:v>
      </x:c>
    </x:row>
    <x:row r="76">
      <x:c r="A76" t="str">
        <x:v>Balance Sheet | Inventory</x:v>
      </x:c>
      <x:c r="B76" t="n">
        <x:v>2022</x:v>
      </x:c>
      <x:c r="C76" s="53" t="n">
        <x:v>24886</x:v>
      </x:c>
      <x:c r="D76" t="str">
        <x:v>USD millions</x:v>
      </x:c>
      <x:c r="E76" t="str">
        <x:v>Form 10-K: Consolidated Balance Sheets</x:v>
      </x:c>
      <x:c r="F76" t="str">
        <x:v>38</x:v>
      </x:c>
      <x:c r="G76" t="str">
        <x:v>https://www.sec.gov/Archives/edgar/data/354950/000035495024000062/hd-20240128.htm</x:v>
      </x:c>
      <x:c r="H76" t="str">
        <x:v>C22</x:v>
      </x:c>
    </x:row>
    <x:row r="77">
      <x:c r="A77" t="str">
        <x:v>Balance Sheet | Inventory</x:v>
      </x:c>
      <x:c r="B77" t="n">
        <x:v>2023</x:v>
      </x:c>
      <x:c r="C77" s="53" t="n">
        <x:v>20976</x:v>
      </x:c>
      <x:c r="D77" t="str">
        <x:v>USD millions</x:v>
      </x:c>
      <x:c r="E77" t="str">
        <x:v>Form 10-K: Consolidated Balance Sheets</x:v>
      </x:c>
      <x:c r="F77" t="str">
        <x:v>38</x:v>
      </x:c>
      <x:c r="G77" t="str">
        <x:v>https://www.sec.gov/Archives/edgar/data/354950/000035495024000062/hd-20240128.htm</x:v>
      </x:c>
      <x:c r="H77" t="str">
        <x:v>D22</x:v>
      </x:c>
    </x:row>
    <x:row r="78">
      <x:c r="A78" t="str">
        <x:v>Balance Sheet | Inventory</x:v>
      </x:c>
      <x:c r="B78" t="n">
        <x:v>2024</x:v>
      </x:c>
      <x:c r="C78" s="53" t="n">
        <x:v>23451</x:v>
      </x:c>
      <x:c r="D78" t="str">
        <x:v>USD millions</x:v>
      </x:c>
      <x:c r="E78" t="str">
        <x:v>Form 10-K: Consolidated Balance Sheets</x:v>
      </x:c>
      <x:c r="F78" t="str">
        <x:v>39</x:v>
      </x:c>
      <x:c r="G78" t="str">
        <x:v>https://www.sec.gov/Archives/edgar/data/354950/000162828026019436/hd-20260201.htm</x:v>
      </x:c>
      <x:c r="H78" t="str">
        <x:v>E22</x:v>
      </x:c>
    </x:row>
    <x:row r="79">
      <x:c r="A79" t="str">
        <x:v>Balance Sheet | Inventory</x:v>
      </x:c>
      <x:c r="B79" t="n">
        <x:v>2025</x:v>
      </x:c>
      <x:c r="C79" s="53" t="n">
        <x:v>25817</x:v>
      </x:c>
      <x:c r="D79" t="str">
        <x:v>USD millions</x:v>
      </x:c>
      <x:c r="E79" t="str">
        <x:v>Form 10-K: Consolidated Balance Sheets</x:v>
      </x:c>
      <x:c r="F79" t="str">
        <x:v>39</x:v>
      </x:c>
      <x:c r="G79" t="str">
        <x:v>https://www.sec.gov/Archives/edgar/data/354950/000162828026019436/hd-20260201.htm</x:v>
      </x:c>
      <x:c r="H79" t="str">
        <x:v>F22</x:v>
      </x:c>
    </x:row>
    <x:row r="80">
      <x:c r="A80" t="str">
        <x:v>Balance Sheet | Other current assets</x:v>
      </x:c>
      <x:c r="B80" t="n">
        <x:v>2021</x:v>
      </x:c>
      <x:c r="C80" s="53" t="n">
        <x:v>1218</x:v>
      </x:c>
      <x:c r="D80" t="str">
        <x:v>USD millions</x:v>
      </x:c>
      <x:c r="E80" t="str">
        <x:v>Form 10-K: Consolidated Balance Sheets</x:v>
      </x:c>
      <x:c r="F80" t="str">
        <x:v>36</x:v>
      </x:c>
      <x:c r="G80" t="str">
        <x:v>https://www.sec.gov/Archives/edgar/data/354950/000035495023000059/hd-20230129.htm</x:v>
      </x:c>
      <x:c r="H80" t="str">
        <x:v>B23</x:v>
      </x:c>
    </x:row>
    <x:row r="81">
      <x:c r="A81" t="str">
        <x:v>Balance Sheet | Other current assets</x:v>
      </x:c>
      <x:c r="B81" t="n">
        <x:v>2022</x:v>
      </x:c>
      <x:c r="C81" s="53" t="n">
        <x:v>1511</x:v>
      </x:c>
      <x:c r="D81" t="str">
        <x:v>USD millions</x:v>
      </x:c>
      <x:c r="E81" t="str">
        <x:v>Form 10-K: Consolidated Balance Sheets</x:v>
      </x:c>
      <x:c r="F81" t="str">
        <x:v>38</x:v>
      </x:c>
      <x:c r="G81" t="str">
        <x:v>https://www.sec.gov/Archives/edgar/data/354950/000035495024000062/hd-20240128.htm</x:v>
      </x:c>
      <x:c r="H81" t="str">
        <x:v>C23</x:v>
      </x:c>
    </x:row>
    <x:row r="82">
      <x:c r="A82" t="str">
        <x:v>Balance Sheet | Other current assets</x:v>
      </x:c>
      <x:c r="B82" t="n">
        <x:v>2023</x:v>
      </x:c>
      <x:c r="C82" s="53" t="n">
        <x:v>1711</x:v>
      </x:c>
      <x:c r="D82" t="str">
        <x:v>USD millions</x:v>
      </x:c>
      <x:c r="E82" t="str">
        <x:v>Form 10-K: Consolidated Balance Sheets</x:v>
      </x:c>
      <x:c r="F82" t="str">
        <x:v>38</x:v>
      </x:c>
      <x:c r="G82" t="str">
        <x:v>https://www.sec.gov/Archives/edgar/data/354950/000035495024000062/hd-20240128.htm</x:v>
      </x:c>
      <x:c r="H82" t="str">
        <x:v>D23</x:v>
      </x:c>
    </x:row>
    <x:row r="83">
      <x:c r="A83" t="str">
        <x:v>Balance Sheet | Other current assets</x:v>
      </x:c>
      <x:c r="B83" t="n">
        <x:v>2024</x:v>
      </x:c>
      <x:c r="C83" s="53" t="n">
        <x:v>1670</x:v>
      </x:c>
      <x:c r="D83" t="str">
        <x:v>USD millions</x:v>
      </x:c>
      <x:c r="E83" t="str">
        <x:v>Form 10-K: Consolidated Balance Sheets</x:v>
      </x:c>
      <x:c r="F83" t="str">
        <x:v>39</x:v>
      </x:c>
      <x:c r="G83" t="str">
        <x:v>https://www.sec.gov/Archives/edgar/data/354950/000162828026019436/hd-20260201.htm</x:v>
      </x:c>
      <x:c r="H83" t="str">
        <x:v>E23</x:v>
      </x:c>
    </x:row>
    <x:row r="84">
      <x:c r="A84" t="str">
        <x:v>Balance Sheet | Other current assets</x:v>
      </x:c>
      <x:c r="B84" t="n">
        <x:v>2025</x:v>
      </x:c>
      <x:c r="C84" s="53" t="n">
        <x:v>1588</x:v>
      </x:c>
      <x:c r="D84" t="str">
        <x:v>USD millions</x:v>
      </x:c>
      <x:c r="E84" t="str">
        <x:v>Form 10-K: Consolidated Balance Sheets</x:v>
      </x:c>
      <x:c r="F84" t="str">
        <x:v>39</x:v>
      </x:c>
      <x:c r="G84" t="str">
        <x:v>https://www.sec.gov/Archives/edgar/data/354950/000162828026019436/hd-20260201.htm</x:v>
      </x:c>
      <x:c r="H84" t="str">
        <x:v>F23</x:v>
      </x:c>
    </x:row>
    <x:row r="85">
      <x:c r="A85" t="str">
        <x:v>Balance Sheet | Current assets</x:v>
      </x:c>
      <x:c r="B85" t="n">
        <x:v>2021</x:v>
      </x:c>
      <x:c r="C85" s="53" t="n">
        <x:v>29055</x:v>
      </x:c>
      <x:c r="D85" t="str">
        <x:v>USD millions</x:v>
      </x:c>
      <x:c r="E85" t="str">
        <x:v>Form 10-K: Consolidated Balance Sheets</x:v>
      </x:c>
      <x:c r="F85" t="str">
        <x:v>36</x:v>
      </x:c>
      <x:c r="G85" t="str">
        <x:v>https://www.sec.gov/Archives/edgar/data/354950/000035495023000059/hd-20230129.htm</x:v>
      </x:c>
      <x:c r="H85" t="str">
        <x:v>B24</x:v>
      </x:c>
    </x:row>
    <x:row r="86">
      <x:c r="A86" t="str">
        <x:v>Balance Sheet | Current assets</x:v>
      </x:c>
      <x:c r="B86" t="n">
        <x:v>2022</x:v>
      </x:c>
      <x:c r="C86" s="53" t="n">
        <x:v>32471</x:v>
      </x:c>
      <x:c r="D86" t="str">
        <x:v>USD millions</x:v>
      </x:c>
      <x:c r="E86" t="str">
        <x:v>Form 10-K: Consolidated Balance Sheets</x:v>
      </x:c>
      <x:c r="F86" t="str">
        <x:v>38</x:v>
      </x:c>
      <x:c r="G86" t="str">
        <x:v>https://www.sec.gov/Archives/edgar/data/354950/000035495024000062/hd-20240128.htm</x:v>
      </x:c>
      <x:c r="H86" t="str">
        <x:v>C24</x:v>
      </x:c>
    </x:row>
    <x:row r="87">
      <x:c r="A87" t="str">
        <x:v>Balance Sheet | Current assets</x:v>
      </x:c>
      <x:c r="B87" t="n">
        <x:v>2023</x:v>
      </x:c>
      <x:c r="C87" s="53" t="n">
        <x:v>29775</x:v>
      </x:c>
      <x:c r="D87" t="str">
        <x:v>USD millions</x:v>
      </x:c>
      <x:c r="E87" t="str">
        <x:v>Form 10-K: Consolidated Balance Sheets</x:v>
      </x:c>
      <x:c r="F87" t="str">
        <x:v>38</x:v>
      </x:c>
      <x:c r="G87" t="str">
        <x:v>https://www.sec.gov/Archives/edgar/data/354950/000035495024000062/hd-20240128.htm</x:v>
      </x:c>
      <x:c r="H87" t="str">
        <x:v>D24</x:v>
      </x:c>
    </x:row>
    <x:row r="88">
      <x:c r="A88" t="str">
        <x:v>Balance Sheet | Current assets</x:v>
      </x:c>
      <x:c r="B88" t="n">
        <x:v>2024</x:v>
      </x:c>
      <x:c r="C88" s="53" t="n">
        <x:v>31683</x:v>
      </x:c>
      <x:c r="D88" t="str">
        <x:v>USD millions</x:v>
      </x:c>
      <x:c r="E88" t="str">
        <x:v>Form 10-K: Consolidated Balance Sheets</x:v>
      </x:c>
      <x:c r="F88" t="str">
        <x:v>39</x:v>
      </x:c>
      <x:c r="G88" t="str">
        <x:v>https://www.sec.gov/Archives/edgar/data/354950/000162828026019436/hd-20260201.htm</x:v>
      </x:c>
      <x:c r="H88" t="str">
        <x:v>E24</x:v>
      </x:c>
    </x:row>
    <x:row r="89">
      <x:c r="A89" t="str">
        <x:v>Balance Sheet | Current assets</x:v>
      </x:c>
      <x:c r="B89" t="n">
        <x:v>2025</x:v>
      </x:c>
      <x:c r="C89" s="53" t="n">
        <x:v>34391</x:v>
      </x:c>
      <x:c r="D89" t="str">
        <x:v>USD millions</x:v>
      </x:c>
      <x:c r="E89" t="str">
        <x:v>Form 10-K: Consolidated Balance Sheets</x:v>
      </x:c>
      <x:c r="F89" t="str">
        <x:v>39</x:v>
      </x:c>
      <x:c r="G89" t="str">
        <x:v>https://www.sec.gov/Archives/edgar/data/354950/000162828026019436/hd-20260201.htm</x:v>
      </x:c>
      <x:c r="H89" t="str">
        <x:v>F24</x:v>
      </x:c>
    </x:row>
    <x:row r="90">
      <x:c r="A90" t="str">
        <x:v>Balance Sheet | Total assets</x:v>
      </x:c>
      <x:c r="B90" t="n">
        <x:v>2021</x:v>
      </x:c>
      <x:c r="C90" s="53" t="n">
        <x:v>71876</x:v>
      </x:c>
      <x:c r="D90" t="str">
        <x:v>USD millions</x:v>
      </x:c>
      <x:c r="E90" t="str">
        <x:v>Form 10-K: Consolidated Balance Sheets</x:v>
      </x:c>
      <x:c r="F90" t="str">
        <x:v>36</x:v>
      </x:c>
      <x:c r="G90" t="str">
        <x:v>https://www.sec.gov/Archives/edgar/data/354950/000035495023000059/hd-20230129.htm</x:v>
      </x:c>
      <x:c r="H90" t="str">
        <x:v>B25</x:v>
      </x:c>
    </x:row>
    <x:row r="91">
      <x:c r="A91" t="str">
        <x:v>Balance Sheet | Total assets</x:v>
      </x:c>
      <x:c r="B91" t="n">
        <x:v>2022</x:v>
      </x:c>
      <x:c r="C91" s="53" t="n">
        <x:v>76445</x:v>
      </x:c>
      <x:c r="D91" t="str">
        <x:v>USD millions</x:v>
      </x:c>
      <x:c r="E91" t="str">
        <x:v>Form 10-K: Consolidated Balance Sheets</x:v>
      </x:c>
      <x:c r="F91" t="str">
        <x:v>38</x:v>
      </x:c>
      <x:c r="G91" t="str">
        <x:v>https://www.sec.gov/Archives/edgar/data/354950/000035495024000062/hd-20240128.htm</x:v>
      </x:c>
      <x:c r="H91" t="str">
        <x:v>C25</x:v>
      </x:c>
    </x:row>
    <x:row r="92">
      <x:c r="A92" t="str">
        <x:v>Balance Sheet | Total assets</x:v>
      </x:c>
      <x:c r="B92" t="n">
        <x:v>2023</x:v>
      </x:c>
      <x:c r="C92" s="53" t="n">
        <x:v>76530</x:v>
      </x:c>
      <x:c r="D92" t="str">
        <x:v>USD millions</x:v>
      </x:c>
      <x:c r="E92" t="str">
        <x:v>Form 10-K: Consolidated Balance Sheets</x:v>
      </x:c>
      <x:c r="F92" t="str">
        <x:v>38</x:v>
      </x:c>
      <x:c r="G92" t="str">
        <x:v>https://www.sec.gov/Archives/edgar/data/354950/000035495024000062/hd-20240128.htm</x:v>
      </x:c>
      <x:c r="H92" t="str">
        <x:v>D25</x:v>
      </x:c>
    </x:row>
    <x:row r="93">
      <x:c r="A93" t="str">
        <x:v>Balance Sheet | Total assets</x:v>
      </x:c>
      <x:c r="B93" t="n">
        <x:v>2024</x:v>
      </x:c>
      <x:c r="C93" s="53" t="n">
        <x:v>96119</x:v>
      </x:c>
      <x:c r="D93" t="str">
        <x:v>USD millions</x:v>
      </x:c>
      <x:c r="E93" t="str">
        <x:v>Form 10-K: Consolidated Balance Sheets</x:v>
      </x:c>
      <x:c r="F93" t="str">
        <x:v>39</x:v>
      </x:c>
      <x:c r="G93" t="str">
        <x:v>https://www.sec.gov/Archives/edgar/data/354950/000162828026019436/hd-20260201.htm</x:v>
      </x:c>
      <x:c r="H93" t="str">
        <x:v>E25</x:v>
      </x:c>
    </x:row>
    <x:row r="94">
      <x:c r="A94" t="str">
        <x:v>Balance Sheet | Total assets</x:v>
      </x:c>
      <x:c r="B94" t="n">
        <x:v>2025</x:v>
      </x:c>
      <x:c r="C94" s="53" t="n">
        <x:v>105095</x:v>
      </x:c>
      <x:c r="D94" t="str">
        <x:v>USD millions</x:v>
      </x:c>
      <x:c r="E94" t="str">
        <x:v>Form 10-K: Consolidated Balance Sheets</x:v>
      </x:c>
      <x:c r="F94" t="str">
        <x:v>39</x:v>
      </x:c>
      <x:c r="G94" t="str">
        <x:v>https://www.sec.gov/Archives/edgar/data/354950/000162828026019436/hd-20260201.htm</x:v>
      </x:c>
      <x:c r="H94" t="str">
        <x:v>F25</x:v>
      </x:c>
    </x:row>
    <x:row r="95">
      <x:c r="A95" t="str">
        <x:v>Balance Sheet | Accounts payable</x:v>
      </x:c>
      <x:c r="B95" t="n">
        <x:v>2021</x:v>
      </x:c>
      <x:c r="C95" s="53" t="n">
        <x:v>13462</x:v>
      </x:c>
      <x:c r="D95" t="str">
        <x:v>USD millions</x:v>
      </x:c>
      <x:c r="E95" t="str">
        <x:v>Form 10-K: Consolidated Balance Sheets</x:v>
      </x:c>
      <x:c r="F95" t="str">
        <x:v>36</x:v>
      </x:c>
      <x:c r="G95" t="str">
        <x:v>https://www.sec.gov/Archives/edgar/data/354950/000035495023000059/hd-20230129.htm</x:v>
      </x:c>
      <x:c r="H95" t="str">
        <x:v>B26</x:v>
      </x:c>
    </x:row>
    <x:row r="96">
      <x:c r="A96" t="str">
        <x:v>Balance Sheet | Accounts payable</x:v>
      </x:c>
      <x:c r="B96" t="n">
        <x:v>2022</x:v>
      </x:c>
      <x:c r="C96" s="53" t="n">
        <x:v>11443</x:v>
      </x:c>
      <x:c r="D96" t="str">
        <x:v>USD millions</x:v>
      </x:c>
      <x:c r="E96" t="str">
        <x:v>Form 10-K: Consolidated Balance Sheets</x:v>
      </x:c>
      <x:c r="F96" t="str">
        <x:v>38</x:v>
      </x:c>
      <x:c r="G96" t="str">
        <x:v>https://www.sec.gov/Archives/edgar/data/354950/000035495024000062/hd-20240128.htm</x:v>
      </x:c>
      <x:c r="H96" t="str">
        <x:v>C26</x:v>
      </x:c>
    </x:row>
    <x:row r="97">
      <x:c r="A97" t="str">
        <x:v>Balance Sheet | Accounts payable</x:v>
      </x:c>
      <x:c r="B97" t="n">
        <x:v>2023</x:v>
      </x:c>
      <x:c r="C97" s="53" t="n">
        <x:v>10037</x:v>
      </x:c>
      <x:c r="D97" t="str">
        <x:v>USD millions</x:v>
      </x:c>
      <x:c r="E97" t="str">
        <x:v>Form 10-K: Consolidated Balance Sheets</x:v>
      </x:c>
      <x:c r="F97" t="str">
        <x:v>38</x:v>
      </x:c>
      <x:c r="G97" t="str">
        <x:v>https://www.sec.gov/Archives/edgar/data/354950/000035495024000062/hd-20240128.htm</x:v>
      </x:c>
      <x:c r="H97" t="str">
        <x:v>D26</x:v>
      </x:c>
    </x:row>
    <x:row r="98">
      <x:c r="A98" t="str">
        <x:v>Balance Sheet | Accounts payable</x:v>
      </x:c>
      <x:c r="B98" t="n">
        <x:v>2024</x:v>
      </x:c>
      <x:c r="C98" s="53" t="n">
        <x:v>11938</x:v>
      </x:c>
      <x:c r="D98" t="str">
        <x:v>USD millions</x:v>
      </x:c>
      <x:c r="E98" t="str">
        <x:v>Form 10-K: Consolidated Balance Sheets</x:v>
      </x:c>
      <x:c r="F98" t="str">
        <x:v>39</x:v>
      </x:c>
      <x:c r="G98" t="str">
        <x:v>https://www.sec.gov/Archives/edgar/data/354950/000162828026019436/hd-20260201.htm</x:v>
      </x:c>
      <x:c r="H98" t="str">
        <x:v>E26</x:v>
      </x:c>
    </x:row>
    <x:row r="99">
      <x:c r="A99" t="str">
        <x:v>Balance Sheet | Accounts payable</x:v>
      </x:c>
      <x:c r="B99" t="n">
        <x:v>2025</x:v>
      </x:c>
      <x:c r="C99" s="53" t="n">
        <x:v>11491</x:v>
      </x:c>
      <x:c r="D99" t="str">
        <x:v>USD millions</x:v>
      </x:c>
      <x:c r="E99" t="str">
        <x:v>Form 10-K: Consolidated Balance Sheets</x:v>
      </x:c>
      <x:c r="F99" t="str">
        <x:v>39</x:v>
      </x:c>
      <x:c r="G99" t="str">
        <x:v>https://www.sec.gov/Archives/edgar/data/354950/000162828026019436/hd-20260201.htm</x:v>
      </x:c>
      <x:c r="H99" t="str">
        <x:v>F26</x:v>
      </x:c>
    </x:row>
    <x:row r="100">
      <x:c r="A100" t="str">
        <x:v>Balance Sheet | Short-term debt</x:v>
      </x:c>
      <x:c r="B100" t="n">
        <x:v>2021</x:v>
      </x:c>
      <x:c r="C100" s="53" t="n">
        <x:v>1035</x:v>
      </x:c>
      <x:c r="D100" t="str">
        <x:v>USD millions</x:v>
      </x:c>
      <x:c r="E100" t="str">
        <x:v>Form 10-K: Consolidated Balance Sheets</x:v>
      </x:c>
      <x:c r="F100" t="str">
        <x:v>36</x:v>
      </x:c>
      <x:c r="G100" t="str">
        <x:v>https://www.sec.gov/Archives/edgar/data/354950/000035495023000059/hd-20230129.htm</x:v>
      </x:c>
      <x:c r="H100" t="str">
        <x:v>B27</x:v>
      </x:c>
    </x:row>
    <x:row r="101">
      <x:c r="A101" t="str">
        <x:v>Balance Sheet | Short-term debt</x:v>
      </x:c>
      <x:c r="B101" t="n">
        <x:v>2022</x:v>
      </x:c>
      <x:c r="C101" s="53" t="n">
        <x:v>0</x:v>
      </x:c>
      <x:c r="D101" t="str">
        <x:v>USD millions</x:v>
      </x:c>
      <x:c r="E101" t="str">
        <x:v>Form 10-K: Consolidated Balance Sheets</x:v>
      </x:c>
      <x:c r="F101" t="str">
        <x:v>38</x:v>
      </x:c>
      <x:c r="G101" t="str">
        <x:v>https://www.sec.gov/Archives/edgar/data/354950/000035495024000062/hd-20240128.htm</x:v>
      </x:c>
      <x:c r="H101" t="str">
        <x:v>C27</x:v>
      </x:c>
    </x:row>
    <x:row r="102">
      <x:c r="A102" t="str">
        <x:v>Balance Sheet | Short-term debt</x:v>
      </x:c>
      <x:c r="B102" t="n">
        <x:v>2023</x:v>
      </x:c>
      <x:c r="C102" s="53" t="n">
        <x:v>0</x:v>
      </x:c>
      <x:c r="D102" t="str">
        <x:v>USD millions</x:v>
      </x:c>
      <x:c r="E102" t="str">
        <x:v>Form 10-K: Consolidated Balance Sheets</x:v>
      </x:c>
      <x:c r="F102" t="str">
        <x:v>38</x:v>
      </x:c>
      <x:c r="G102" t="str">
        <x:v>https://www.sec.gov/Archives/edgar/data/354950/000035495024000062/hd-20240128.htm</x:v>
      </x:c>
      <x:c r="H102" t="str">
        <x:v>D27</x:v>
      </x:c>
    </x:row>
    <x:row r="103">
      <x:c r="A103" t="str">
        <x:v>Balance Sheet | Short-term debt</x:v>
      </x:c>
      <x:c r="B103" t="n">
        <x:v>2024</x:v>
      </x:c>
      <x:c r="C103" s="53" t="n">
        <x:v>316</x:v>
      </x:c>
      <x:c r="D103" t="str">
        <x:v>USD millions</x:v>
      </x:c>
      <x:c r="E103" t="str">
        <x:v>Form 10-K: Consolidated Balance Sheets</x:v>
      </x:c>
      <x:c r="F103" t="str">
        <x:v>39</x:v>
      </x:c>
      <x:c r="G103" t="str">
        <x:v>https://www.sec.gov/Archives/edgar/data/354950/000162828026019436/hd-20260201.htm</x:v>
      </x:c>
      <x:c r="H103" t="str">
        <x:v>E27</x:v>
      </x:c>
    </x:row>
    <x:row r="104">
      <x:c r="A104" t="str">
        <x:v>Balance Sheet | Short-term debt</x:v>
      </x:c>
      <x:c r="B104" t="n">
        <x:v>2025</x:v>
      </x:c>
      <x:c r="C104" s="53" t="n">
        <x:v>4464</x:v>
      </x:c>
      <x:c r="D104" t="str">
        <x:v>USD millions</x:v>
      </x:c>
      <x:c r="E104" t="str">
        <x:v>Form 10-K: Consolidated Balance Sheets</x:v>
      </x:c>
      <x:c r="F104" t="str">
        <x:v>39</x:v>
      </x:c>
      <x:c r="G104" t="str">
        <x:v>https://www.sec.gov/Archives/edgar/data/354950/000162828026019436/hd-20260201.htm</x:v>
      </x:c>
      <x:c r="H104" t="str">
        <x:v>F27</x:v>
      </x:c>
    </x:row>
    <x:row r="105">
      <x:c r="A105" t="str">
        <x:v>Balance Sheet | Current maturities of long-term debt</x:v>
      </x:c>
      <x:c r="B105" t="n">
        <x:v>2021</x:v>
      </x:c>
      <x:c r="C105" s="53" t="n">
        <x:v>2447</x:v>
      </x:c>
      <x:c r="D105" t="str">
        <x:v>USD millions</x:v>
      </x:c>
      <x:c r="E105" t="str">
        <x:v>Form 10-K: Consolidated Balance Sheets</x:v>
      </x:c>
      <x:c r="F105" t="str">
        <x:v>36</x:v>
      </x:c>
      <x:c r="G105" t="str">
        <x:v>https://www.sec.gov/Archives/edgar/data/354950/000035495023000059/hd-20230129.htm</x:v>
      </x:c>
      <x:c r="H105" t="str">
        <x:v>B28</x:v>
      </x:c>
    </x:row>
    <x:row r="106">
      <x:c r="A106" t="str">
        <x:v>Balance Sheet | Current maturities of long-term debt</x:v>
      </x:c>
      <x:c r="B106" t="n">
        <x:v>2022</x:v>
      </x:c>
      <x:c r="C106" s="53" t="n">
        <x:v>1231</x:v>
      </x:c>
      <x:c r="D106" t="str">
        <x:v>USD millions</x:v>
      </x:c>
      <x:c r="E106" t="str">
        <x:v>Form 10-K: Consolidated Balance Sheets</x:v>
      </x:c>
      <x:c r="F106" t="str">
        <x:v>38</x:v>
      </x:c>
      <x:c r="G106" t="str">
        <x:v>https://www.sec.gov/Archives/edgar/data/354950/000035495024000062/hd-20240128.htm</x:v>
      </x:c>
      <x:c r="H106" t="str">
        <x:v>C28</x:v>
      </x:c>
    </x:row>
    <x:row r="107">
      <x:c r="A107" t="str">
        <x:v>Balance Sheet | Current maturities of long-term debt</x:v>
      </x:c>
      <x:c r="B107" t="n">
        <x:v>2023</x:v>
      </x:c>
      <x:c r="C107" s="53" t="n">
        <x:v>1368</x:v>
      </x:c>
      <x:c r="D107" t="str">
        <x:v>USD millions</x:v>
      </x:c>
      <x:c r="E107" t="str">
        <x:v>Form 10-K: Consolidated Balance Sheets</x:v>
      </x:c>
      <x:c r="F107" t="str">
        <x:v>38</x:v>
      </x:c>
      <x:c r="G107" t="str">
        <x:v>https://www.sec.gov/Archives/edgar/data/354950/000035495024000062/hd-20240128.htm</x:v>
      </x:c>
      <x:c r="H107" t="str">
        <x:v>D28</x:v>
      </x:c>
    </x:row>
    <x:row r="108">
      <x:c r="A108" t="str">
        <x:v>Balance Sheet | Current maturities of long-term debt</x:v>
      </x:c>
      <x:c r="B108" t="n">
        <x:v>2024</x:v>
      </x:c>
      <x:c r="C108" s="53" t="n">
        <x:v>4582</x:v>
      </x:c>
      <x:c r="D108" t="str">
        <x:v>USD millions</x:v>
      </x:c>
      <x:c r="E108" t="str">
        <x:v>Form 10-K: Consolidated Balance Sheets</x:v>
      </x:c>
      <x:c r="F108" t="str">
        <x:v>39</x:v>
      </x:c>
      <x:c r="G108" t="str">
        <x:v>https://www.sec.gov/Archives/edgar/data/354950/000162828026019436/hd-20260201.htm</x:v>
      </x:c>
      <x:c r="H108" t="str">
        <x:v>E28</x:v>
      </x:c>
    </x:row>
    <x:row r="109">
      <x:c r="A109" t="str">
        <x:v>Balance Sheet | Current maturities of long-term debt</x:v>
      </x:c>
      <x:c r="B109" t="n">
        <x:v>2025</x:v>
      </x:c>
      <x:c r="C109" s="53" t="n">
        <x:v>4967</x:v>
      </x:c>
      <x:c r="D109" t="str">
        <x:v>USD millions</x:v>
      </x:c>
      <x:c r="E109" t="str">
        <x:v>Form 10-K: Consolidated Balance Sheets</x:v>
      </x:c>
      <x:c r="F109" t="str">
        <x:v>39</x:v>
      </x:c>
      <x:c r="G109" t="str">
        <x:v>https://www.sec.gov/Archives/edgar/data/354950/000162828026019436/hd-20260201.htm</x:v>
      </x:c>
      <x:c r="H109" t="str">
        <x:v>F28</x:v>
      </x:c>
    </x:row>
    <x:row r="110">
      <x:c r="A110" t="str">
        <x:v>Balance Sheet | Long-term debt</x:v>
      </x:c>
      <x:c r="B110" t="n">
        <x:v>2021</x:v>
      </x:c>
      <x:c r="C110" s="53" t="n">
        <x:v>36604</x:v>
      </x:c>
      <x:c r="D110" t="str">
        <x:v>USD millions</x:v>
      </x:c>
      <x:c r="E110" t="str">
        <x:v>Form 10-K: Consolidated Balance Sheets</x:v>
      </x:c>
      <x:c r="F110" t="str">
        <x:v>36</x:v>
      </x:c>
      <x:c r="G110" t="str">
        <x:v>https://www.sec.gov/Archives/edgar/data/354950/000035495023000059/hd-20230129.htm</x:v>
      </x:c>
      <x:c r="H110" t="str">
        <x:v>B29</x:v>
      </x:c>
    </x:row>
    <x:row r="111">
      <x:c r="A111" t="str">
        <x:v>Balance Sheet | Long-term debt</x:v>
      </x:c>
      <x:c r="B111" t="n">
        <x:v>2022</x:v>
      </x:c>
      <x:c r="C111" s="53" t="n">
        <x:v>41962</x:v>
      </x:c>
      <x:c r="D111" t="str">
        <x:v>USD millions</x:v>
      </x:c>
      <x:c r="E111" t="str">
        <x:v>Form 10-K: Consolidated Balance Sheets</x:v>
      </x:c>
      <x:c r="F111" t="str">
        <x:v>38</x:v>
      </x:c>
      <x:c r="G111" t="str">
        <x:v>https://www.sec.gov/Archives/edgar/data/354950/000035495024000062/hd-20240128.htm</x:v>
      </x:c>
      <x:c r="H111" t="str">
        <x:v>C29</x:v>
      </x:c>
    </x:row>
    <x:row r="112">
      <x:c r="A112" t="str">
        <x:v>Balance Sheet | Long-term debt</x:v>
      </x:c>
      <x:c r="B112" t="n">
        <x:v>2023</x:v>
      </x:c>
      <x:c r="C112" s="53" t="n">
        <x:v>42743</x:v>
      </x:c>
      <x:c r="D112" t="str">
        <x:v>USD millions</x:v>
      </x:c>
      <x:c r="E112" t="str">
        <x:v>Form 10-K: Consolidated Balance Sheets</x:v>
      </x:c>
      <x:c r="F112" t="str">
        <x:v>38</x:v>
      </x:c>
      <x:c r="G112" t="str">
        <x:v>https://www.sec.gov/Archives/edgar/data/354950/000035495024000062/hd-20240128.htm</x:v>
      </x:c>
      <x:c r="H112" t="str">
        <x:v>D29</x:v>
      </x:c>
    </x:row>
    <x:row r="113">
      <x:c r="A113" t="str">
        <x:v>Balance Sheet | Long-term debt</x:v>
      </x:c>
      <x:c r="B113" t="n">
        <x:v>2024</x:v>
      </x:c>
      <x:c r="C113" s="53" t="n">
        <x:v>48485</x:v>
      </x:c>
      <x:c r="D113" t="str">
        <x:v>USD millions</x:v>
      </x:c>
      <x:c r="E113" t="str">
        <x:v>Form 10-K: Consolidated Balance Sheets</x:v>
      </x:c>
      <x:c r="F113" t="str">
        <x:v>39</x:v>
      </x:c>
      <x:c r="G113" t="str">
        <x:v>https://www.sec.gov/Archives/edgar/data/354950/000162828026019436/hd-20260201.htm</x:v>
      </x:c>
      <x:c r="H113" t="str">
        <x:v>E29</x:v>
      </x:c>
    </x:row>
    <x:row r="114">
      <x:c r="A114" t="str">
        <x:v>Balance Sheet | Long-term debt</x:v>
      </x:c>
      <x:c r="B114" t="n">
        <x:v>2025</x:v>
      </x:c>
      <x:c r="C114" s="53" t="n">
        <x:v>46341</x:v>
      </x:c>
      <x:c r="D114" t="str">
        <x:v>USD millions</x:v>
      </x:c>
      <x:c r="E114" t="str">
        <x:v>Form 10-K: Consolidated Balance Sheets</x:v>
      </x:c>
      <x:c r="F114" t="str">
        <x:v>39</x:v>
      </x:c>
      <x:c r="G114" t="str">
        <x:v>https://www.sec.gov/Archives/edgar/data/354950/000162828026019436/hd-20260201.htm</x:v>
      </x:c>
      <x:c r="H114" t="str">
        <x:v>F29</x:v>
      </x:c>
    </x:row>
    <x:row r="115">
      <x:c r="A115" t="str">
        <x:v>Balance Sheet | Current liabilities</x:v>
      </x:c>
      <x:c r="B115" t="n">
        <x:v>2021</x:v>
      </x:c>
      <x:c r="C115" s="53" t="n">
        <x:v>28693</x:v>
      </x:c>
      <x:c r="D115" t="str">
        <x:v>USD millions</x:v>
      </x:c>
      <x:c r="E115" t="str">
        <x:v>Form 10-K: Consolidated Balance Sheets</x:v>
      </x:c>
      <x:c r="F115" t="str">
        <x:v>36</x:v>
      </x:c>
      <x:c r="G115" t="str">
        <x:v>https://www.sec.gov/Archives/edgar/data/354950/000035495023000059/hd-20230129.htm</x:v>
      </x:c>
      <x:c r="H115" t="str">
        <x:v>B30</x:v>
      </x:c>
    </x:row>
    <x:row r="116">
      <x:c r="A116" t="str">
        <x:v>Balance Sheet | Current liabilities</x:v>
      </x:c>
      <x:c r="B116" t="n">
        <x:v>2022</x:v>
      </x:c>
      <x:c r="C116" s="53" t="n">
        <x:v>23110</x:v>
      </x:c>
      <x:c r="D116" t="str">
        <x:v>USD millions</x:v>
      </x:c>
      <x:c r="E116" t="str">
        <x:v>Form 10-K: Consolidated Balance Sheets</x:v>
      </x:c>
      <x:c r="F116" t="str">
        <x:v>38</x:v>
      </x:c>
      <x:c r="G116" t="str">
        <x:v>https://www.sec.gov/Archives/edgar/data/354950/000035495024000062/hd-20240128.htm</x:v>
      </x:c>
      <x:c r="H116" t="str">
        <x:v>C30</x:v>
      </x:c>
    </x:row>
    <x:row r="117">
      <x:c r="A117" t="str">
        <x:v>Balance Sheet | Current liabilities</x:v>
      </x:c>
      <x:c r="B117" t="n">
        <x:v>2023</x:v>
      </x:c>
      <x:c r="C117" s="53" t="n">
        <x:v>22015</x:v>
      </x:c>
      <x:c r="D117" t="str">
        <x:v>USD millions</x:v>
      </x:c>
      <x:c r="E117" t="str">
        <x:v>Form 10-K: Consolidated Balance Sheets</x:v>
      </x:c>
      <x:c r="F117" t="str">
        <x:v>38</x:v>
      </x:c>
      <x:c r="G117" t="str">
        <x:v>https://www.sec.gov/Archives/edgar/data/354950/000035495024000062/hd-20240128.htm</x:v>
      </x:c>
      <x:c r="H117" t="str">
        <x:v>D30</x:v>
      </x:c>
    </x:row>
    <x:row r="118">
      <x:c r="A118" t="str">
        <x:v>Balance Sheet | Current liabilities</x:v>
      </x:c>
      <x:c r="B118" t="n">
        <x:v>2024</x:v>
      </x:c>
      <x:c r="C118" s="53" t="n">
        <x:v>28661</x:v>
      </x:c>
      <x:c r="D118" t="str">
        <x:v>USD millions</x:v>
      </x:c>
      <x:c r="E118" t="str">
        <x:v>Form 10-K: Consolidated Balance Sheets</x:v>
      </x:c>
      <x:c r="F118" t="str">
        <x:v>39</x:v>
      </x:c>
      <x:c r="G118" t="str">
        <x:v>https://www.sec.gov/Archives/edgar/data/354950/000162828026019436/hd-20260201.htm</x:v>
      </x:c>
      <x:c r="H118" t="str">
        <x:v>E30</x:v>
      </x:c>
    </x:row>
    <x:row r="119">
      <x:c r="A119" t="str">
        <x:v>Balance Sheet | Current liabilities</x:v>
      </x:c>
      <x:c r="B119" t="n">
        <x:v>2025</x:v>
      </x:c>
      <x:c r="C119" s="53" t="n">
        <x:v>32424</x:v>
      </x:c>
      <x:c r="D119" t="str">
        <x:v>USD millions</x:v>
      </x:c>
      <x:c r="E119" t="str">
        <x:v>Form 10-K: Consolidated Balance Sheets</x:v>
      </x:c>
      <x:c r="F119" t="str">
        <x:v>39</x:v>
      </x:c>
      <x:c r="G119" t="str">
        <x:v>https://www.sec.gov/Archives/edgar/data/354950/000162828026019436/hd-20260201.htm</x:v>
      </x:c>
      <x:c r="H119" t="str">
        <x:v>F30</x:v>
      </x:c>
    </x:row>
    <x:row r="120">
      <x:c r="A120" t="str">
        <x:v>Balance Sheet | Total liabilities</x:v>
      </x:c>
      <x:c r="B120" t="n">
        <x:v>2021</x:v>
      </x:c>
      <x:c r="C120" s="53" t="n">
        <x:v>73572</x:v>
      </x:c>
      <x:c r="D120" t="str">
        <x:v>USD millions</x:v>
      </x:c>
      <x:c r="E120" t="str">
        <x:v>Form 10-K: Consolidated Balance Sheets</x:v>
      </x:c>
      <x:c r="F120" t="str">
        <x:v>36</x:v>
      </x:c>
      <x:c r="G120" t="str">
        <x:v>https://www.sec.gov/Archives/edgar/data/354950/000035495023000059/hd-20230129.htm</x:v>
      </x:c>
      <x:c r="H120" t="str">
        <x:v>B31</x:v>
      </x:c>
    </x:row>
    <x:row r="121">
      <x:c r="A121" t="str">
        <x:v>Balance Sheet | Total liabilities</x:v>
      </x:c>
      <x:c r="B121" t="n">
        <x:v>2022</x:v>
      </x:c>
      <x:c r="C121" s="53" t="n">
        <x:v>74883</x:v>
      </x:c>
      <x:c r="D121" t="str">
        <x:v>USD millions</x:v>
      </x:c>
      <x:c r="E121" t="str">
        <x:v>Form 10-K: Consolidated Balance Sheets</x:v>
      </x:c>
      <x:c r="F121" t="str">
        <x:v>38</x:v>
      </x:c>
      <x:c r="G121" t="str">
        <x:v>https://www.sec.gov/Archives/edgar/data/354950/000035495024000062/hd-20240128.htm</x:v>
      </x:c>
      <x:c r="H121" t="str">
        <x:v>C31</x:v>
      </x:c>
    </x:row>
    <x:row r="122">
      <x:c r="A122" t="str">
        <x:v>Balance Sheet | Total liabilities</x:v>
      </x:c>
      <x:c r="B122" t="n">
        <x:v>2023</x:v>
      </x:c>
      <x:c r="C122" s="53" t="n">
        <x:v>75486</x:v>
      </x:c>
      <x:c r="D122" t="str">
        <x:v>USD millions</x:v>
      </x:c>
      <x:c r="E122" t="str">
        <x:v>Form 10-K: Consolidated Balance Sheets</x:v>
      </x:c>
      <x:c r="F122" t="str">
        <x:v>38</x:v>
      </x:c>
      <x:c r="G122" t="str">
        <x:v>https://www.sec.gov/Archives/edgar/data/354950/000035495024000062/hd-20240128.htm</x:v>
      </x:c>
      <x:c r="H122" t="str">
        <x:v>D31</x:v>
      </x:c>
    </x:row>
    <x:row r="123">
      <x:c r="A123" t="str">
        <x:v>Balance Sheet | Total liabilities</x:v>
      </x:c>
      <x:c r="B123" t="n">
        <x:v>2024</x:v>
      </x:c>
      <x:c r="C123" s="53" t="n">
        <x:v>89479</x:v>
      </x:c>
      <x:c r="D123" t="str">
        <x:v>USD millions</x:v>
      </x:c>
      <x:c r="E123" t="str">
        <x:v>Form 10-K: Consolidated Balance Sheets</x:v>
      </x:c>
      <x:c r="F123" t="str">
        <x:v>39</x:v>
      </x:c>
      <x:c r="G123" t="str">
        <x:v>https://www.sec.gov/Archives/edgar/data/354950/000162828026019436/hd-20260201.htm</x:v>
      </x:c>
      <x:c r="H123" t="str">
        <x:v>E31</x:v>
      </x:c>
    </x:row>
    <x:row r="124">
      <x:c r="A124" t="str">
        <x:v>Balance Sheet | Total liabilities</x:v>
      </x:c>
      <x:c r="B124" t="n">
        <x:v>2025</x:v>
      </x:c>
      <x:c r="C124" s="53" t="n">
        <x:v>92282</x:v>
      </x:c>
      <x:c r="D124" t="str">
        <x:v>USD millions</x:v>
      </x:c>
      <x:c r="E124" t="str">
        <x:v>Form 10-K: Consolidated Balance Sheets</x:v>
      </x:c>
      <x:c r="F124" t="str">
        <x:v>39</x:v>
      </x:c>
      <x:c r="G124" t="str">
        <x:v>https://www.sec.gov/Archives/edgar/data/354950/000162828026019436/hd-20260201.htm</x:v>
      </x:c>
      <x:c r="H124" t="str">
        <x:v>F31</x:v>
      </x:c>
    </x:row>
    <x:row r="125">
      <x:c r="A125" t="str">
        <x:v>Balance Sheet | Equity</x:v>
      </x:c>
      <x:c r="B125" t="n">
        <x:v>2021</x:v>
      </x:c>
      <x:c r="C125" s="53" t="n">
        <x:v>-1696</x:v>
      </x:c>
      <x:c r="D125" t="str">
        <x:v>USD millions</x:v>
      </x:c>
      <x:c r="E125" t="str">
        <x:v>Form 10-K: Consolidated Balance Sheets</x:v>
      </x:c>
      <x:c r="F125" t="str">
        <x:v>36</x:v>
      </x:c>
      <x:c r="G125" t="str">
        <x:v>https://www.sec.gov/Archives/edgar/data/354950/000035495023000059/hd-20230129.htm</x:v>
      </x:c>
      <x:c r="H125" t="str">
        <x:v>B32</x:v>
      </x:c>
    </x:row>
    <x:row r="126">
      <x:c r="A126" t="str">
        <x:v>Balance Sheet | Equity</x:v>
      </x:c>
      <x:c r="B126" t="n">
        <x:v>2022</x:v>
      </x:c>
      <x:c r="C126" s="53" t="n">
        <x:v>1562</x:v>
      </x:c>
      <x:c r="D126" t="str">
        <x:v>USD millions</x:v>
      </x:c>
      <x:c r="E126" t="str">
        <x:v>Form 10-K: Consolidated Balance Sheets</x:v>
      </x:c>
      <x:c r="F126" t="str">
        <x:v>38</x:v>
      </x:c>
      <x:c r="G126" t="str">
        <x:v>https://www.sec.gov/Archives/edgar/data/354950/000035495024000062/hd-20240128.htm</x:v>
      </x:c>
      <x:c r="H126" t="str">
        <x:v>C32</x:v>
      </x:c>
    </x:row>
    <x:row r="127">
      <x:c r="A127" t="str">
        <x:v>Balance Sheet | Equity</x:v>
      </x:c>
      <x:c r="B127" t="n">
        <x:v>2023</x:v>
      </x:c>
      <x:c r="C127" s="53" t="n">
        <x:v>1044</x:v>
      </x:c>
      <x:c r="D127" t="str">
        <x:v>USD millions</x:v>
      </x:c>
      <x:c r="E127" t="str">
        <x:v>Form 10-K: Consolidated Balance Sheets</x:v>
      </x:c>
      <x:c r="F127" t="str">
        <x:v>38</x:v>
      </x:c>
      <x:c r="G127" t="str">
        <x:v>https://www.sec.gov/Archives/edgar/data/354950/000035495024000062/hd-20240128.htm</x:v>
      </x:c>
      <x:c r="H127" t="str">
        <x:v>D32</x:v>
      </x:c>
    </x:row>
    <x:row r="128">
      <x:c r="A128" t="str">
        <x:v>Balance Sheet | Equity</x:v>
      </x:c>
      <x:c r="B128" t="n">
        <x:v>2024</x:v>
      </x:c>
      <x:c r="C128" s="53" t="n">
        <x:v>6640</x:v>
      </x:c>
      <x:c r="D128" t="str">
        <x:v>USD millions</x:v>
      </x:c>
      <x:c r="E128" t="str">
        <x:v>Form 10-K: Consolidated Balance Sheets</x:v>
      </x:c>
      <x:c r="F128" t="str">
        <x:v>39</x:v>
      </x:c>
      <x:c r="G128" t="str">
        <x:v>https://www.sec.gov/Archives/edgar/data/354950/000162828026019436/hd-20260201.htm</x:v>
      </x:c>
      <x:c r="H128" t="str">
        <x:v>E32</x:v>
      </x:c>
    </x:row>
    <x:row r="129">
      <x:c r="A129" t="str">
        <x:v>Balance Sheet | Equity</x:v>
      </x:c>
      <x:c r="B129" t="n">
        <x:v>2025</x:v>
      </x:c>
      <x:c r="C129" s="53" t="n">
        <x:v>12813</x:v>
      </x:c>
      <x:c r="D129" t="str">
        <x:v>USD millions</x:v>
      </x:c>
      <x:c r="E129" t="str">
        <x:v>Form 10-K: Consolidated Balance Sheets</x:v>
      </x:c>
      <x:c r="F129" t="str">
        <x:v>39</x:v>
      </x:c>
      <x:c r="G129" t="str">
        <x:v>https://www.sec.gov/Archives/edgar/data/354950/000162828026019436/hd-20260201.htm</x:v>
      </x:c>
      <x:c r="H129" t="str">
        <x:v>F32</x:v>
      </x:c>
    </x:row>
    <x:row r="130">
      <x:c r="A130" t="str">
        <x:v>Balance Sheet | OCF</x:v>
      </x:c>
      <x:c r="B130" t="n">
        <x:v>2021</x:v>
      </x:c>
      <x:c r="C130" s="53" t="n">
        <x:v>16571</x:v>
      </x:c>
      <x:c r="D130" t="str">
        <x:v>USD millions</x:v>
      </x:c>
      <x:c r="E130" t="str">
        <x:v>Form 10-K: Consolidated Balance Sheets</x:v>
      </x:c>
      <x:c r="F130" t="str">
        <x:v>36</x:v>
      </x:c>
      <x:c r="G130" t="str">
        <x:v>https://www.sec.gov/Archives/edgar/data/354950/000035495023000059/hd-20230129.htm</x:v>
      </x:c>
      <x:c r="H130" t="str">
        <x:v>B33</x:v>
      </x:c>
    </x:row>
    <x:row r="131">
      <x:c r="A131" t="str">
        <x:v>Balance Sheet | OCF</x:v>
      </x:c>
      <x:c r="B131" t="n">
        <x:v>2022</x:v>
      </x:c>
      <x:c r="C131" s="53" t="n">
        <x:v>14615</x:v>
      </x:c>
      <x:c r="D131" t="str">
        <x:v>USD millions</x:v>
      </x:c>
      <x:c r="E131" t="str">
        <x:v>Form 10-K: Consolidated Balance Sheets</x:v>
      </x:c>
      <x:c r="F131" t="str">
        <x:v>38</x:v>
      </x:c>
      <x:c r="G131" t="str">
        <x:v>https://www.sec.gov/Archives/edgar/data/354950/000035495024000062/hd-20240128.htm</x:v>
      </x:c>
      <x:c r="H131" t="str">
        <x:v>C33</x:v>
      </x:c>
    </x:row>
    <x:row r="132">
      <x:c r="A132" t="str">
        <x:v>Balance Sheet | OCF</x:v>
      </x:c>
      <x:c r="B132" t="n">
        <x:v>2023</x:v>
      </x:c>
      <x:c r="C132" s="53" t="n">
        <x:v>21172</x:v>
      </x:c>
      <x:c r="D132" t="str">
        <x:v>USD millions</x:v>
      </x:c>
      <x:c r="E132" t="str">
        <x:v>Form 10-K: Consolidated Balance Sheets</x:v>
      </x:c>
      <x:c r="F132" t="str">
        <x:v>38</x:v>
      </x:c>
      <x:c r="G132" t="str">
        <x:v>https://www.sec.gov/Archives/edgar/data/354950/000035495024000062/hd-20240128.htm</x:v>
      </x:c>
      <x:c r="H132" t="str">
        <x:v>D33</x:v>
      </x:c>
    </x:row>
    <x:row r="133">
      <x:c r="A133" t="str">
        <x:v>Balance Sheet | OCF</x:v>
      </x:c>
      <x:c r="B133" t="n">
        <x:v>2024</x:v>
      </x:c>
      <x:c r="C133" s="53" t="n">
        <x:v>19810</x:v>
      </x:c>
      <x:c r="D133" t="str">
        <x:v>USD millions</x:v>
      </x:c>
      <x:c r="E133" t="str">
        <x:v>Form 10-K: Consolidated Balance Sheets</x:v>
      </x:c>
      <x:c r="F133" t="str">
        <x:v>39</x:v>
      </x:c>
      <x:c r="G133" t="str">
        <x:v>https://www.sec.gov/Archives/edgar/data/354950/000162828026019436/hd-20260201.htm</x:v>
      </x:c>
      <x:c r="H133" t="str">
        <x:v>E33</x:v>
      </x:c>
    </x:row>
    <x:row r="134">
      <x:c r="A134" t="str">
        <x:v>Balance Sheet | OCF</x:v>
      </x:c>
      <x:c r="B134" t="n">
        <x:v>2025</x:v>
      </x:c>
      <x:c r="C134" s="53" t="n">
        <x:v>16325</x:v>
      </x:c>
      <x:c r="D134" t="str">
        <x:v>USD millions</x:v>
      </x:c>
      <x:c r="E134" t="str">
        <x:v>Form 10-K: Consolidated Balance Sheets</x:v>
      </x:c>
      <x:c r="F134" t="str">
        <x:v>39</x:v>
      </x:c>
      <x:c r="G134" t="str">
        <x:v>https://www.sec.gov/Archives/edgar/data/354950/000162828026019436/hd-20260201.htm</x:v>
      </x:c>
      <x:c r="H134" t="str">
        <x:v>F33</x:v>
      </x:c>
    </x:row>
    <x:row r="135">
      <x:c r="A135" t="str">
        <x:v>Cash Flow | Capital expenditures</x:v>
      </x:c>
      <x:c r="B135" t="n">
        <x:v>2021</x:v>
      </x:c>
      <x:c r="C135" s="53" t="n">
        <x:v>-2566</x:v>
      </x:c>
      <x:c r="D135" t="str">
        <x:v>USD millions</x:v>
      </x:c>
      <x:c r="E135" t="str">
        <x:v>Form 10-K: Consolidated Statements of Cash Flows</x:v>
      </x:c>
      <x:c r="F135" t="str">
        <x:v>42</x:v>
      </x:c>
      <x:c r="G135" t="str">
        <x:v>https://www.sec.gov/Archives/edgar/data/354950/000035495024000062/hd-20240128.htm</x:v>
      </x:c>
      <x:c r="H135" t="str">
        <x:v>B36</x:v>
      </x:c>
    </x:row>
    <x:row r="136">
      <x:c r="A136" t="str">
        <x:v>Cash Flow | Capital expenditures</x:v>
      </x:c>
      <x:c r="B136" t="n">
        <x:v>2022</x:v>
      </x:c>
      <x:c r="C136" s="53" t="n">
        <x:v>-3119</x:v>
      </x:c>
      <x:c r="D136" t="str">
        <x:v>USD millions</x:v>
      </x:c>
      <x:c r="E136" t="str">
        <x:v>Form 10-K: Consolidated Statements of Cash Flows</x:v>
      </x:c>
      <x:c r="F136" t="str">
        <x:v>42</x:v>
      </x:c>
      <x:c r="G136" t="str">
        <x:v>https://www.sec.gov/Archives/edgar/data/354950/000035495024000062/hd-20240128.htm</x:v>
      </x:c>
      <x:c r="H136" t="str">
        <x:v>C36</x:v>
      </x:c>
    </x:row>
    <x:row r="137">
      <x:c r="A137" t="str">
        <x:v>Cash Flow | Capital expenditures</x:v>
      </x:c>
      <x:c r="B137" t="n">
        <x:v>2023</x:v>
      </x:c>
      <x:c r="C137" s="53" t="n">
        <x:v>-3226</x:v>
      </x:c>
      <x:c r="D137" t="str">
        <x:v>USD millions</x:v>
      </x:c>
      <x:c r="E137" t="str">
        <x:v>Form 10-K: Consolidated Statements of Cash Flows</x:v>
      </x:c>
      <x:c r="F137" t="str">
        <x:v>42</x:v>
      </x:c>
      <x:c r="G137" t="str">
        <x:v>https://www.sec.gov/Archives/edgar/data/354950/000035495024000062/hd-20240128.htm</x:v>
      </x:c>
      <x:c r="H137" t="str">
        <x:v>D36</x:v>
      </x:c>
    </x:row>
    <x:row r="138">
      <x:c r="A138" t="str">
        <x:v>Cash Flow | Capital expenditures</x:v>
      </x:c>
      <x:c r="B138" t="n">
        <x:v>2024</x:v>
      </x:c>
      <x:c r="C138" s="53" t="n">
        <x:v>-3485</x:v>
      </x:c>
      <x:c r="D138" t="str">
        <x:v>USD millions</x:v>
      </x:c>
      <x:c r="E138" t="str">
        <x:v>Form 10-K: Consolidated Statements of Cash Flows</x:v>
      </x:c>
      <x:c r="F138" t="str">
        <x:v>43</x:v>
      </x:c>
      <x:c r="G138" t="str">
        <x:v>https://www.sec.gov/Archives/edgar/data/354950/000162828026019436/hd-20260201.htm</x:v>
      </x:c>
      <x:c r="H138" t="str">
        <x:v>E36</x:v>
      </x:c>
    </x:row>
    <x:row r="139">
      <x:c r="A139" t="str">
        <x:v>Cash Flow | Capital expenditures</x:v>
      </x:c>
      <x:c r="B139" t="n">
        <x:v>2025</x:v>
      </x:c>
      <x:c r="C139" s="53" t="n">
        <x:v>-3679</x:v>
      </x:c>
      <x:c r="D139" t="str">
        <x:v>USD millions</x:v>
      </x:c>
      <x:c r="E139" t="str">
        <x:v>Form 10-K: Consolidated Statements of Cash Flows</x:v>
      </x:c>
      <x:c r="F139" t="str">
        <x:v>43</x:v>
      </x:c>
      <x:c r="G139" t="str">
        <x:v>https://www.sec.gov/Archives/edgar/data/354950/000162828026019436/hd-20260201.htm</x:v>
      </x:c>
      <x:c r="H139" t="str">
        <x:v>F36</x:v>
      </x:c>
    </x:row>
    <x:row r="140">
      <x:c r="A140" t="str">
        <x:v>Cash Flow | Acquisitions</x:v>
      </x:c>
      <x:c r="B140" t="n">
        <x:v>2021</x:v>
      </x:c>
      <x:c r="C140" s="53" t="n">
        <x:v>-421</x:v>
      </x:c>
      <x:c r="D140" t="str">
        <x:v>USD millions</x:v>
      </x:c>
      <x:c r="E140" t="str">
        <x:v>Form 10-K: Consolidated Statements of Cash Flows</x:v>
      </x:c>
      <x:c r="F140" t="str">
        <x:v>42</x:v>
      </x:c>
      <x:c r="G140" t="str">
        <x:v>https://www.sec.gov/Archives/edgar/data/354950/000035495024000062/hd-20240128.htm</x:v>
      </x:c>
      <x:c r="H140" t="str">
        <x:v>B37</x:v>
      </x:c>
    </x:row>
    <x:row r="141">
      <x:c r="A141" t="str">
        <x:v>Cash Flow | Acquisitions</x:v>
      </x:c>
      <x:c r="B141" t="n">
        <x:v>2022</x:v>
      </x:c>
      <x:c r="C141" s="53" t="n">
        <x:v>0</x:v>
      </x:c>
      <x:c r="D141" t="str">
        <x:v>USD millions</x:v>
      </x:c>
      <x:c r="E141" t="str">
        <x:v>Form 10-K: Consolidated Statements of Cash Flows</x:v>
      </x:c>
      <x:c r="F141" t="str">
        <x:v>42</x:v>
      </x:c>
      <x:c r="G141" t="str">
        <x:v>https://www.sec.gov/Archives/edgar/data/354950/000035495024000062/hd-20240128.htm</x:v>
      </x:c>
      <x:c r="H141" t="str">
        <x:v>C37</x:v>
      </x:c>
    </x:row>
    <x:row r="142">
      <x:c r="A142" t="str">
        <x:v>Cash Flow | Acquisitions</x:v>
      </x:c>
      <x:c r="B142" t="n">
        <x:v>2023</x:v>
      </x:c>
      <x:c r="C142" s="53" t="n">
        <x:v>-1514</x:v>
      </x:c>
      <x:c r="D142" t="str">
        <x:v>USD millions</x:v>
      </x:c>
      <x:c r="E142" t="str">
        <x:v>Form 10-K: Consolidated Statements of Cash Flows</x:v>
      </x:c>
      <x:c r="F142" t="str">
        <x:v>42</x:v>
      </x:c>
      <x:c r="G142" t="str">
        <x:v>https://www.sec.gov/Archives/edgar/data/354950/000035495024000062/hd-20240128.htm</x:v>
      </x:c>
      <x:c r="H142" t="str">
        <x:v>D37</x:v>
      </x:c>
    </x:row>
    <x:row r="143">
      <x:c r="A143" t="str">
        <x:v>Cash Flow | Acquisitions</x:v>
      </x:c>
      <x:c r="B143" t="n">
        <x:v>2024</x:v>
      </x:c>
      <x:c r="C143" s="53" t="n">
        <x:v>-17644</x:v>
      </x:c>
      <x:c r="D143" t="str">
        <x:v>USD millions</x:v>
      </x:c>
      <x:c r="E143" t="str">
        <x:v>Form 10-K: Consolidated Statements of Cash Flows</x:v>
      </x:c>
      <x:c r="F143" t="str">
        <x:v>43</x:v>
      </x:c>
      <x:c r="G143" t="str">
        <x:v>https://www.sec.gov/Archives/edgar/data/354950/000162828026019436/hd-20260201.htm</x:v>
      </x:c>
      <x:c r="H143" t="str">
        <x:v>E37</x:v>
      </x:c>
    </x:row>
    <x:row r="144">
      <x:c r="A144" t="str">
        <x:v>Cash Flow | Acquisitions</x:v>
      </x:c>
      <x:c r="B144" t="n">
        <x:v>2025</x:v>
      </x:c>
      <x:c r="C144" s="53" t="n">
        <x:v>-5410</x:v>
      </x:c>
      <x:c r="D144" t="str">
        <x:v>USD millions</x:v>
      </x:c>
      <x:c r="E144" t="str">
        <x:v>Form 10-K: Consolidated Statements of Cash Flows</x:v>
      </x:c>
      <x:c r="F144" t="str">
        <x:v>43</x:v>
      </x:c>
      <x:c r="G144" t="str">
        <x:v>https://www.sec.gov/Archives/edgar/data/354950/000162828026019436/hd-20260201.htm</x:v>
      </x:c>
      <x:c r="H144" t="str">
        <x:v>F37</x:v>
      </x:c>
    </x:row>
    <x:row r="145">
      <x:c r="A145" t="str">
        <x:v>Cash Flow | Investing CF</x:v>
      </x:c>
      <x:c r="B145" t="n">
        <x:v>2021</x:v>
      </x:c>
      <x:c r="C145" s="53" t="n">
        <x:v>-2969</x:v>
      </x:c>
      <x:c r="D145" t="str">
        <x:v>USD millions</x:v>
      </x:c>
      <x:c r="E145" t="str">
        <x:v>Form 10-K: Consolidated Statements of Cash Flows</x:v>
      </x:c>
      <x:c r="F145" t="str">
        <x:v>42</x:v>
      </x:c>
      <x:c r="G145" t="str">
        <x:v>https://www.sec.gov/Archives/edgar/data/354950/000035495024000062/hd-20240128.htm</x:v>
      </x:c>
      <x:c r="H145" t="str">
        <x:v>B38</x:v>
      </x:c>
    </x:row>
    <x:row r="146">
      <x:c r="A146" t="str">
        <x:v>Cash Flow | Investing CF</x:v>
      </x:c>
      <x:c r="B146" t="n">
        <x:v>2022</x:v>
      </x:c>
      <x:c r="C146" s="53" t="n">
        <x:v>-3140</x:v>
      </x:c>
      <x:c r="D146" t="str">
        <x:v>USD millions</x:v>
      </x:c>
      <x:c r="E146" t="str">
        <x:v>Form 10-K: Consolidated Statements of Cash Flows</x:v>
      </x:c>
      <x:c r="F146" t="str">
        <x:v>42</x:v>
      </x:c>
      <x:c r="G146" t="str">
        <x:v>https://www.sec.gov/Archives/edgar/data/354950/000035495024000062/hd-20240128.htm</x:v>
      </x:c>
      <x:c r="H146" t="str">
        <x:v>C38</x:v>
      </x:c>
    </x:row>
    <x:row r="147">
      <x:c r="A147" t="str">
        <x:v>Cash Flow | Investing CF</x:v>
      </x:c>
      <x:c r="B147" t="n">
        <x:v>2023</x:v>
      </x:c>
      <x:c r="C147" s="53" t="n">
        <x:v>-4729</x:v>
      </x:c>
      <x:c r="D147" t="str">
        <x:v>USD millions</x:v>
      </x:c>
      <x:c r="E147" t="str">
        <x:v>Form 10-K: Consolidated Statements of Cash Flows</x:v>
      </x:c>
      <x:c r="F147" t="str">
        <x:v>42</x:v>
      </x:c>
      <x:c r="G147" t="str">
        <x:v>https://www.sec.gov/Archives/edgar/data/354950/000035495024000062/hd-20240128.htm</x:v>
      </x:c>
      <x:c r="H147" t="str">
        <x:v>D38</x:v>
      </x:c>
    </x:row>
    <x:row r="148">
      <x:c r="A148" t="str">
        <x:v>Cash Flow | Investing CF</x:v>
      </x:c>
      <x:c r="B148" t="n">
        <x:v>2024</x:v>
      </x:c>
      <x:c r="C148" s="53" t="n">
        <x:v>-21031</x:v>
      </x:c>
      <x:c r="D148" t="str">
        <x:v>USD millions</x:v>
      </x:c>
      <x:c r="E148" t="str">
        <x:v>Form 10-K: Consolidated Statements of Cash Flows</x:v>
      </x:c>
      <x:c r="F148" t="str">
        <x:v>43</x:v>
      </x:c>
      <x:c r="G148" t="str">
        <x:v>https://www.sec.gov/Archives/edgar/data/354950/000162828026019436/hd-20260201.htm</x:v>
      </x:c>
      <x:c r="H148" t="str">
        <x:v>E38</x:v>
      </x:c>
    </x:row>
    <x:row r="149">
      <x:c r="A149" t="str">
        <x:v>Cash Flow | Investing CF</x:v>
      </x:c>
      <x:c r="B149" t="n">
        <x:v>2025</x:v>
      </x:c>
      <x:c r="C149" s="53" t="n">
        <x:v>-8980</x:v>
      </x:c>
      <x:c r="D149" t="str">
        <x:v>USD millions</x:v>
      </x:c>
      <x:c r="E149" t="str">
        <x:v>Form 10-K: Consolidated Statements of Cash Flows</x:v>
      </x:c>
      <x:c r="F149" t="str">
        <x:v>43</x:v>
      </x:c>
      <x:c r="G149" t="str">
        <x:v>https://www.sec.gov/Archives/edgar/data/354950/000162828026019436/hd-20260201.htm</x:v>
      </x:c>
      <x:c r="H149" t="str">
        <x:v>F38</x:v>
      </x:c>
    </x:row>
    <x:row r="150">
      <x:c r="A150" t="str">
        <x:v>Cash Flow | Financing CF</x:v>
      </x:c>
      <x:c r="B150" t="n">
        <x:v>2021</x:v>
      </x:c>
      <x:c r="C150" s="53" t="n">
        <x:v>-19120</x:v>
      </x:c>
      <x:c r="D150" t="str">
        <x:v>USD millions</x:v>
      </x:c>
      <x:c r="E150" t="str">
        <x:v>Form 10-K: Consolidated Statements of Cash Flows</x:v>
      </x:c>
      <x:c r="F150" t="str">
        <x:v>42</x:v>
      </x:c>
      <x:c r="G150" t="str">
        <x:v>https://www.sec.gov/Archives/edgar/data/354950/000035495024000062/hd-20240128.htm</x:v>
      </x:c>
      <x:c r="H150" t="str">
        <x:v>B39</x:v>
      </x:c>
    </x:row>
    <x:row r="151">
      <x:c r="A151" t="str">
        <x:v>Cash Flow | Financing CF</x:v>
      </x:c>
      <x:c r="B151" t="n">
        <x:v>2022</x:v>
      </x:c>
      <x:c r="C151" s="53" t="n">
        <x:v>-10993</x:v>
      </x:c>
      <x:c r="D151" t="str">
        <x:v>USD millions</x:v>
      </x:c>
      <x:c r="E151" t="str">
        <x:v>Form 10-K: Consolidated Statements of Cash Flows</x:v>
      </x:c>
      <x:c r="F151" t="str">
        <x:v>42</x:v>
      </x:c>
      <x:c r="G151" t="str">
        <x:v>https://www.sec.gov/Archives/edgar/data/354950/000035495024000062/hd-20240128.htm</x:v>
      </x:c>
      <x:c r="H151" t="str">
        <x:v>C39</x:v>
      </x:c>
    </x:row>
    <x:row r="152">
      <x:c r="A152" t="str">
        <x:v>Cash Flow | Financing CF</x:v>
      </x:c>
      <x:c r="B152" t="n">
        <x:v>2023</x:v>
      </x:c>
      <x:c r="C152" s="53" t="n">
        <x:v>-15443</x:v>
      </x:c>
      <x:c r="D152" t="str">
        <x:v>USD millions</x:v>
      </x:c>
      <x:c r="E152" t="str">
        <x:v>Form 10-K: Consolidated Statements of Cash Flows</x:v>
      </x:c>
      <x:c r="F152" t="str">
        <x:v>42</x:v>
      </x:c>
      <x:c r="G152" t="str">
        <x:v>https://www.sec.gov/Archives/edgar/data/354950/000035495024000062/hd-20240128.htm</x:v>
      </x:c>
      <x:c r="H152" t="str">
        <x:v>D39</x:v>
      </x:c>
    </x:row>
    <x:row r="153">
      <x:c r="A153" t="str">
        <x:v>Cash Flow | Financing CF</x:v>
      </x:c>
      <x:c r="B153" t="n">
        <x:v>2024</x:v>
      </x:c>
      <x:c r="C153" s="53" t="n">
        <x:v>-694</x:v>
      </x:c>
      <x:c r="D153" t="str">
        <x:v>USD millions</x:v>
      </x:c>
      <x:c r="E153" t="str">
        <x:v>Form 10-K: Consolidated Statements of Cash Flows</x:v>
      </x:c>
      <x:c r="F153" t="str">
        <x:v>43</x:v>
      </x:c>
      <x:c r="G153" t="str">
        <x:v>https://www.sec.gov/Archives/edgar/data/354950/000162828026019436/hd-20260201.htm</x:v>
      </x:c>
      <x:c r="H153" t="str">
        <x:v>E39</x:v>
      </x:c>
    </x:row>
    <x:row r="154">
      <x:c r="A154" t="str">
        <x:v>Cash Flow | Financing CF</x:v>
      </x:c>
      <x:c r="B154" t="n">
        <x:v>2025</x:v>
      </x:c>
      <x:c r="C154" s="53" t="n">
        <x:v>-7714</x:v>
      </x:c>
      <x:c r="D154" t="str">
        <x:v>USD millions</x:v>
      </x:c>
      <x:c r="E154" t="str">
        <x:v>Form 10-K: Consolidated Statements of Cash Flows</x:v>
      </x:c>
      <x:c r="F154" t="str">
        <x:v>43</x:v>
      </x:c>
      <x:c r="G154" t="str">
        <x:v>https://www.sec.gov/Archives/edgar/data/354950/000162828026019436/hd-20260201.htm</x:v>
      </x:c>
      <x:c r="H154" t="str">
        <x:v>F39</x:v>
      </x:c>
    </x:row>
    <x:row r="155">
      <x:c r="A155" t="str">
        <x:v>Cash Flow | FX effect</x:v>
      </x:c>
      <x:c r="B155" t="n">
        <x:v>2021</x:v>
      </x:c>
      <x:c r="C155" s="53" t="n">
        <x:v>-34</x:v>
      </x:c>
      <x:c r="D155" t="str">
        <x:v>USD millions</x:v>
      </x:c>
      <x:c r="E155" t="str">
        <x:v>Form 10-K: Consolidated Statements of Cash Flows</x:v>
      </x:c>
      <x:c r="F155" t="str">
        <x:v>42</x:v>
      </x:c>
      <x:c r="G155" t="str">
        <x:v>https://www.sec.gov/Archives/edgar/data/354950/000035495024000062/hd-20240128.htm</x:v>
      </x:c>
      <x:c r="H155" t="str">
        <x:v>B40</x:v>
      </x:c>
    </x:row>
    <x:row r="156">
      <x:c r="A156" t="str">
        <x:v>Cash Flow | FX effect</x:v>
      </x:c>
      <x:c r="B156" t="n">
        <x:v>2022</x:v>
      </x:c>
      <x:c r="C156" s="53" t="n">
        <x:v>-68</x:v>
      </x:c>
      <x:c r="D156" t="str">
        <x:v>USD millions</x:v>
      </x:c>
      <x:c r="E156" t="str">
        <x:v>Form 10-K: Consolidated Statements of Cash Flows</x:v>
      </x:c>
      <x:c r="F156" t="str">
        <x:v>42</x:v>
      </x:c>
      <x:c r="G156" t="str">
        <x:v>https://www.sec.gov/Archives/edgar/data/354950/000035495024000062/hd-20240128.htm</x:v>
      </x:c>
      <x:c r="H156" t="str">
        <x:v>C40</x:v>
      </x:c>
    </x:row>
    <x:row r="157">
      <x:c r="A157" t="str">
        <x:v>Cash Flow | FX effect</x:v>
      </x:c>
      <x:c r="B157" t="n">
        <x:v>2023</x:v>
      </x:c>
      <x:c r="C157" s="53" t="n">
        <x:v>3</x:v>
      </x:c>
      <x:c r="D157" t="str">
        <x:v>USD millions</x:v>
      </x:c>
      <x:c r="E157" t="str">
        <x:v>Form 10-K: Consolidated Statements of Cash Flows</x:v>
      </x:c>
      <x:c r="F157" t="str">
        <x:v>42</x:v>
      </x:c>
      <x:c r="G157" t="str">
        <x:v>https://www.sec.gov/Archives/edgar/data/354950/000035495024000062/hd-20240128.htm</x:v>
      </x:c>
      <x:c r="H157" t="str">
        <x:v>D40</x:v>
      </x:c>
    </x:row>
    <x:row r="158">
      <x:c r="A158" t="str">
        <x:v>Cash Flow | FX effect</x:v>
      </x:c>
      <x:c r="B158" t="n">
        <x:v>2024</x:v>
      </x:c>
      <x:c r="C158" s="53" t="n">
        <x:v>-186</x:v>
      </x:c>
      <x:c r="D158" t="str">
        <x:v>USD millions</x:v>
      </x:c>
      <x:c r="E158" t="str">
        <x:v>Form 10-K: Consolidated Statements of Cash Flows</x:v>
      </x:c>
      <x:c r="F158" t="str">
        <x:v>43</x:v>
      </x:c>
      <x:c r="G158" t="str">
        <x:v>https://www.sec.gov/Archives/edgar/data/354950/000162828026019436/hd-20260201.htm</x:v>
      </x:c>
      <x:c r="H158" t="str">
        <x:v>E40</x:v>
      </x:c>
    </x:row>
    <x:row r="159">
      <x:c r="A159" t="str">
        <x:v>Cash Flow | FX effect</x:v>
      </x:c>
      <x:c r="B159" t="n">
        <x:v>2025</x:v>
      </x:c>
      <x:c r="C159" s="53" t="n">
        <x:v>99</x:v>
      </x:c>
      <x:c r="D159" t="str">
        <x:v>USD millions</x:v>
      </x:c>
      <x:c r="E159" t="str">
        <x:v>Form 10-K: Consolidated Statements of Cash Flows</x:v>
      </x:c>
      <x:c r="F159" t="str">
        <x:v>43</x:v>
      </x:c>
      <x:c r="G159" t="str">
        <x:v>https://www.sec.gov/Archives/edgar/data/354950/000162828026019436/hd-20260201.htm</x:v>
      </x:c>
      <x:c r="H159" t="str">
        <x:v>F40</x:v>
      </x:c>
    </x:row>
    <x:row r="160">
      <x:c r="A160" t="str">
        <x:v>Cash Flow | CF change before FX</x:v>
      </x:c>
      <x:c r="B160" t="n">
        <x:v>2021</x:v>
      </x:c>
      <x:c r="C160" s="53" t="n">
        <x:v>-5518</x:v>
      </x:c>
      <x:c r="D160" t="str">
        <x:v>USD millions</x:v>
      </x:c>
      <x:c r="E160" t="str">
        <x:v>Form 10-K: Consolidated Statements of Cash Flows</x:v>
      </x:c>
      <x:c r="F160" t="str">
        <x:v>42</x:v>
      </x:c>
      <x:c r="G160" t="str">
        <x:v>https://www.sec.gov/Archives/edgar/data/354950/000035495024000062/hd-20240128.htm</x:v>
      </x:c>
      <x:c r="H160" t="str">
        <x:v>B41</x:v>
      </x:c>
    </x:row>
    <x:row r="161">
      <x:c r="A161" t="str">
        <x:v>Cash Flow | CF change before FX</x:v>
      </x:c>
      <x:c r="B161" t="n">
        <x:v>2022</x:v>
      </x:c>
      <x:c r="C161" s="53" t="n">
        <x:v>482</x:v>
      </x:c>
      <x:c r="D161" t="str">
        <x:v>USD millions</x:v>
      </x:c>
      <x:c r="E161" t="str">
        <x:v>Form 10-K: Consolidated Statements of Cash Flows</x:v>
      </x:c>
      <x:c r="F161" t="str">
        <x:v>42</x:v>
      </x:c>
      <x:c r="G161" t="str">
        <x:v>https://www.sec.gov/Archives/edgar/data/354950/000035495024000062/hd-20240128.htm</x:v>
      </x:c>
      <x:c r="H161" t="str">
        <x:v>C41</x:v>
      </x:c>
    </x:row>
    <x:row r="162">
      <x:c r="A162" t="str">
        <x:v>Cash Flow | CF change before FX</x:v>
      </x:c>
      <x:c r="B162" t="n">
        <x:v>2023</x:v>
      </x:c>
      <x:c r="C162" s="53" t="n">
        <x:v>1000</x:v>
      </x:c>
      <x:c r="D162" t="str">
        <x:v>USD millions</x:v>
      </x:c>
      <x:c r="E162" t="str">
        <x:v>Form 10-K: Consolidated Statements of Cash Flows</x:v>
      </x:c>
      <x:c r="F162" t="str">
        <x:v>42</x:v>
      </x:c>
      <x:c r="G162" t="str">
        <x:v>https://www.sec.gov/Archives/edgar/data/354950/000035495024000062/hd-20240128.htm</x:v>
      </x:c>
      <x:c r="H162" t="str">
        <x:v>D41</x:v>
      </x:c>
    </x:row>
    <x:row r="163">
      <x:c r="A163" t="str">
        <x:v>Cash Flow | CF change before FX</x:v>
      </x:c>
      <x:c r="B163" t="n">
        <x:v>2024</x:v>
      </x:c>
      <x:c r="C163" s="53" t="n">
        <x:v>-1915</x:v>
      </x:c>
      <x:c r="D163" t="str">
        <x:v>USD millions</x:v>
      </x:c>
      <x:c r="E163" t="str">
        <x:v>Form 10-K: Consolidated Statements of Cash Flows</x:v>
      </x:c>
      <x:c r="F163" t="str">
        <x:v>43</x:v>
      </x:c>
      <x:c r="G163" t="str">
        <x:v>https://www.sec.gov/Archives/edgar/data/354950/000162828026019436/hd-20260201.htm</x:v>
      </x:c>
      <x:c r="H163" t="str">
        <x:v>E41</x:v>
      </x:c>
    </x:row>
    <x:row r="164">
      <x:c r="A164" t="str">
        <x:v>Cash Flow | CF change before FX</x:v>
      </x:c>
      <x:c r="B164" t="n">
        <x:v>2025</x:v>
      </x:c>
      <x:c r="C164" s="53" t="n">
        <x:v>-369</x:v>
      </x:c>
      <x:c r="D164" t="str">
        <x:v>USD millions</x:v>
      </x:c>
      <x:c r="E164" t="str">
        <x:v>Form 10-K: Consolidated Statements of Cash Flows</x:v>
      </x:c>
      <x:c r="F164" t="str">
        <x:v>43</x:v>
      </x:c>
      <x:c r="G164" t="str">
        <x:v>https://www.sec.gov/Archives/edgar/data/354950/000162828026019436/hd-20260201.htm</x:v>
      </x:c>
      <x:c r="H164" t="str">
        <x:v>F41</x:v>
      </x:c>
    </x:row>
    <x:row r="165">
      <x:c r="A165" t="str">
        <x:v>Cash Flow | Beginning cash</x:v>
      </x:c>
      <x:c r="B165" t="n">
        <x:v>2021</x:v>
      </x:c>
      <x:c r="C165" s="53" t="n">
        <x:v>7895</x:v>
      </x:c>
      <x:c r="D165" t="str">
        <x:v>USD millions</x:v>
      </x:c>
      <x:c r="E165" t="str">
        <x:v>Form 10-K: Consolidated Statements of Cash Flows</x:v>
      </x:c>
      <x:c r="F165" t="str">
        <x:v>42</x:v>
      </x:c>
      <x:c r="G165" t="str">
        <x:v>https://www.sec.gov/Archives/edgar/data/354950/000035495024000062/hd-20240128.htm</x:v>
      </x:c>
      <x:c r="H165" t="str">
        <x:v>B42</x:v>
      </x:c>
    </x:row>
    <x:row r="166">
      <x:c r="A166" t="str">
        <x:v>Cash Flow | Beginning cash</x:v>
      </x:c>
      <x:c r="B166" t="n">
        <x:v>2022</x:v>
      </x:c>
      <x:c r="C166" s="53" t="n">
        <x:v>2343</x:v>
      </x:c>
      <x:c r="D166" t="str">
        <x:v>USD millions</x:v>
      </x:c>
      <x:c r="E166" t="str">
        <x:v>Form 10-K: Consolidated Statements of Cash Flows</x:v>
      </x:c>
      <x:c r="F166" t="str">
        <x:v>42</x:v>
      </x:c>
      <x:c r="G166" t="str">
        <x:v>https://www.sec.gov/Archives/edgar/data/354950/000035495024000062/hd-20240128.htm</x:v>
      </x:c>
      <x:c r="H166" t="str">
        <x:v>C42</x:v>
      </x:c>
    </x:row>
    <x:row r="167">
      <x:c r="A167" t="str">
        <x:v>Cash Flow | Beginning cash</x:v>
      </x:c>
      <x:c r="B167" t="n">
        <x:v>2023</x:v>
      </x:c>
      <x:c r="C167" s="53" t="n">
        <x:v>2757</x:v>
      </x:c>
      <x:c r="D167" t="str">
        <x:v>USD millions</x:v>
      </x:c>
      <x:c r="E167" t="str">
        <x:v>Form 10-K: Consolidated Statements of Cash Flows</x:v>
      </x:c>
      <x:c r="F167" t="str">
        <x:v>42</x:v>
      </x:c>
      <x:c r="G167" t="str">
        <x:v>https://www.sec.gov/Archives/edgar/data/354950/000035495024000062/hd-20240128.htm</x:v>
      </x:c>
      <x:c r="H167" t="str">
        <x:v>D42</x:v>
      </x:c>
    </x:row>
    <x:row r="168">
      <x:c r="A168" t="str">
        <x:v>Cash Flow | Beginning cash</x:v>
      </x:c>
      <x:c r="B168" t="n">
        <x:v>2024</x:v>
      </x:c>
      <x:c r="C168" s="53" t="n">
        <x:v>3760</x:v>
      </x:c>
      <x:c r="D168" t="str">
        <x:v>USD millions</x:v>
      </x:c>
      <x:c r="E168" t="str">
        <x:v>Form 10-K: Consolidated Statements of Cash Flows</x:v>
      </x:c>
      <x:c r="F168" t="str">
        <x:v>43</x:v>
      </x:c>
      <x:c r="G168" t="str">
        <x:v>https://www.sec.gov/Archives/edgar/data/354950/000162828026019436/hd-20260201.htm</x:v>
      </x:c>
      <x:c r="H168" t="str">
        <x:v>E42</x:v>
      </x:c>
    </x:row>
    <x:row r="169">
      <x:c r="A169" t="str">
        <x:v>Cash Flow | Beginning cash</x:v>
      </x:c>
      <x:c r="B169" t="n">
        <x:v>2025</x:v>
      </x:c>
      <x:c r="C169" s="53" t="n">
        <x:v>1659</x:v>
      </x:c>
      <x:c r="D169" t="str">
        <x:v>USD millions</x:v>
      </x:c>
      <x:c r="E169" t="str">
        <x:v>Form 10-K: Consolidated Statements of Cash Flows</x:v>
      </x:c>
      <x:c r="F169" t="str">
        <x:v>43</x:v>
      </x:c>
      <x:c r="G169" t="str">
        <x:v>https://www.sec.gov/Archives/edgar/data/354950/000162828026019436/hd-20260201.htm</x:v>
      </x:c>
      <x:c r="H169" t="str">
        <x:v>F42</x:v>
      </x:c>
    </x:row>
    <x:row r="170">
      <x:c r="A170" t="str">
        <x:v>Cash Flow | Ending cash</x:v>
      </x:c>
      <x:c r="B170" t="n">
        <x:v>2021</x:v>
      </x:c>
      <x:c r="C170" s="53" t="n">
        <x:v>2343</x:v>
      </x:c>
      <x:c r="D170" t="str">
        <x:v>USD millions</x:v>
      </x:c>
      <x:c r="E170" t="str">
        <x:v>Form 10-K: Consolidated Statements of Cash Flows</x:v>
      </x:c>
      <x:c r="F170" t="str">
        <x:v>42</x:v>
      </x:c>
      <x:c r="G170" t="str">
        <x:v>https://www.sec.gov/Archives/edgar/data/354950/000035495024000062/hd-20240128.htm</x:v>
      </x:c>
      <x:c r="H170" t="str">
        <x:v>B43</x:v>
      </x:c>
    </x:row>
    <x:row r="171">
      <x:c r="A171" t="str">
        <x:v>Cash Flow | Ending cash</x:v>
      </x:c>
      <x:c r="B171" t="n">
        <x:v>2022</x:v>
      </x:c>
      <x:c r="C171" s="53" t="n">
        <x:v>2757</x:v>
      </x:c>
      <x:c r="D171" t="str">
        <x:v>USD millions</x:v>
      </x:c>
      <x:c r="E171" t="str">
        <x:v>Form 10-K: Consolidated Statements of Cash Flows</x:v>
      </x:c>
      <x:c r="F171" t="str">
        <x:v>42</x:v>
      </x:c>
      <x:c r="G171" t="str">
        <x:v>https://www.sec.gov/Archives/edgar/data/354950/000035495024000062/hd-20240128.htm</x:v>
      </x:c>
      <x:c r="H171" t="str">
        <x:v>C43</x:v>
      </x:c>
    </x:row>
    <x:row r="172">
      <x:c r="A172" t="str">
        <x:v>Cash Flow | Ending cash</x:v>
      </x:c>
      <x:c r="B172" t="n">
        <x:v>2023</x:v>
      </x:c>
      <x:c r="C172" s="53" t="n">
        <x:v>3760</x:v>
      </x:c>
      <x:c r="D172" t="str">
        <x:v>USD millions</x:v>
      </x:c>
      <x:c r="E172" t="str">
        <x:v>Form 10-K: Consolidated Statements of Cash Flows</x:v>
      </x:c>
      <x:c r="F172" t="str">
        <x:v>42</x:v>
      </x:c>
      <x:c r="G172" t="str">
        <x:v>https://www.sec.gov/Archives/edgar/data/354950/000035495024000062/hd-20240128.htm</x:v>
      </x:c>
      <x:c r="H172" t="str">
        <x:v>D43</x:v>
      </x:c>
    </x:row>
    <x:row r="173">
      <x:c r="A173" t="str">
        <x:v>Cash Flow | Ending cash</x:v>
      </x:c>
      <x:c r="B173" t="n">
        <x:v>2024</x:v>
      </x:c>
      <x:c r="C173" s="53" t="n">
        <x:v>1659</x:v>
      </x:c>
      <x:c r="D173" t="str">
        <x:v>USD millions</x:v>
      </x:c>
      <x:c r="E173" t="str">
        <x:v>Form 10-K: Consolidated Statements of Cash Flows</x:v>
      </x:c>
      <x:c r="F173" t="str">
        <x:v>43</x:v>
      </x:c>
      <x:c r="G173" t="str">
        <x:v>https://www.sec.gov/Archives/edgar/data/354950/000162828026019436/hd-20260201.htm</x:v>
      </x:c>
      <x:c r="H173" t="str">
        <x:v>E43</x:v>
      </x:c>
    </x:row>
    <x:row r="174">
      <x:c r="A174" t="str">
        <x:v>Cash Flow | Ending cash</x:v>
      </x:c>
      <x:c r="B174" t="n">
        <x:v>2025</x:v>
      </x:c>
      <x:c r="C174" s="53" t="n">
        <x:v>1389</x:v>
      </x:c>
      <x:c r="D174" t="str">
        <x:v>USD millions</x:v>
      </x:c>
      <x:c r="E174" t="str">
        <x:v>Form 10-K: Consolidated Statements of Cash Flows</x:v>
      </x:c>
      <x:c r="F174" t="str">
        <x:v>43</x:v>
      </x:c>
      <x:c r="G174" t="str">
        <x:v>https://www.sec.gov/Archives/edgar/data/354950/000162828026019436/hd-20260201.htm</x:v>
      </x:c>
      <x:c r="H174" t="str">
        <x:v>F43</x:v>
      </x:c>
    </x:row>
    <x:row r="175">
      <x:c r="A175" t="str">
        <x:v>Cash Flow | Dividends</x:v>
      </x:c>
      <x:c r="B175" t="n">
        <x:v>2021</x:v>
      </x:c>
      <x:c r="C175" s="53" t="n">
        <x:v>-6985</x:v>
      </x:c>
      <x:c r="D175" t="str">
        <x:v>USD millions</x:v>
      </x:c>
      <x:c r="E175" t="str">
        <x:v>Form 10-K: Consolidated Statements of Cash Flows</x:v>
      </x:c>
      <x:c r="F175" t="str">
        <x:v>42</x:v>
      </x:c>
      <x:c r="G175" t="str">
        <x:v>https://www.sec.gov/Archives/edgar/data/354950/000035495024000062/hd-20240128.htm</x:v>
      </x:c>
      <x:c r="H175" t="str">
        <x:v>B44</x:v>
      </x:c>
    </x:row>
    <x:row r="176">
      <x:c r="A176" t="str">
        <x:v>Cash Flow | Dividends</x:v>
      </x:c>
      <x:c r="B176" t="n">
        <x:v>2022</x:v>
      </x:c>
      <x:c r="C176" s="53" t="n">
        <x:v>-7789</x:v>
      </x:c>
      <x:c r="D176" t="str">
        <x:v>USD millions</x:v>
      </x:c>
      <x:c r="E176" t="str">
        <x:v>Form 10-K: Consolidated Statements of Cash Flows</x:v>
      </x:c>
      <x:c r="F176" t="str">
        <x:v>42</x:v>
      </x:c>
      <x:c r="G176" t="str">
        <x:v>https://www.sec.gov/Archives/edgar/data/354950/000035495024000062/hd-20240128.htm</x:v>
      </x:c>
      <x:c r="H176" t="str">
        <x:v>C44</x:v>
      </x:c>
    </x:row>
    <x:row r="177">
      <x:c r="A177" t="str">
        <x:v>Cash Flow | Dividends</x:v>
      </x:c>
      <x:c r="B177" t="n">
        <x:v>2023</x:v>
      </x:c>
      <x:c r="C177" s="53" t="n">
        <x:v>-8383</x:v>
      </x:c>
      <x:c r="D177" t="str">
        <x:v>USD millions</x:v>
      </x:c>
      <x:c r="E177" t="str">
        <x:v>Form 10-K: Consolidated Statements of Cash Flows</x:v>
      </x:c>
      <x:c r="F177" t="str">
        <x:v>42</x:v>
      </x:c>
      <x:c r="G177" t="str">
        <x:v>https://www.sec.gov/Archives/edgar/data/354950/000035495024000062/hd-20240128.htm</x:v>
      </x:c>
      <x:c r="H177" t="str">
        <x:v>D44</x:v>
      </x:c>
    </x:row>
    <x:row r="178">
      <x:c r="A178" t="str">
        <x:v>Cash Flow | Dividends</x:v>
      </x:c>
      <x:c r="B178" t="n">
        <x:v>2024</x:v>
      </x:c>
      <x:c r="C178" s="53" t="n">
        <x:v>-8929</x:v>
      </x:c>
      <x:c r="D178" t="str">
        <x:v>USD millions</x:v>
      </x:c>
      <x:c r="E178" t="str">
        <x:v>Form 10-K: Consolidated Statements of Cash Flows</x:v>
      </x:c>
      <x:c r="F178" t="str">
        <x:v>43</x:v>
      </x:c>
      <x:c r="G178" t="str">
        <x:v>https://www.sec.gov/Archives/edgar/data/354950/000162828026019436/hd-20260201.htm</x:v>
      </x:c>
      <x:c r="H178" t="str">
        <x:v>E44</x:v>
      </x:c>
    </x:row>
    <x:row r="179">
      <x:c r="A179" t="str">
        <x:v>Cash Flow | Dividends</x:v>
      </x:c>
      <x:c r="B179" t="n">
        <x:v>2025</x:v>
      </x:c>
      <x:c r="C179" s="53" t="n">
        <x:v>-9152</x:v>
      </x:c>
      <x:c r="D179" t="str">
        <x:v>USD millions</x:v>
      </x:c>
      <x:c r="E179" t="str">
        <x:v>Form 10-K: Consolidated Statements of Cash Flows</x:v>
      </x:c>
      <x:c r="F179" t="str">
        <x:v>43</x:v>
      </x:c>
      <x:c r="G179" t="str">
        <x:v>https://www.sec.gov/Archives/edgar/data/354950/000162828026019436/hd-20260201.htm</x:v>
      </x:c>
      <x:c r="H179" t="str">
        <x:v>F44</x:v>
      </x:c>
    </x:row>
    <x:row r="180">
      <x:c r="A180" t="str">
        <x:v>Cash Flow | Buybacks</x:v>
      </x:c>
      <x:c r="B180" t="n">
        <x:v>2021</x:v>
      </x:c>
      <x:c r="C180" s="53" t="n">
        <x:v>-14809</x:v>
      </x:c>
      <x:c r="D180" t="str">
        <x:v>USD millions</x:v>
      </x:c>
      <x:c r="E180" t="str">
        <x:v>Form 10-K: Consolidated Statements of Cash Flows</x:v>
      </x:c>
      <x:c r="F180" t="str">
        <x:v>42</x:v>
      </x:c>
      <x:c r="G180" t="str">
        <x:v>https://www.sec.gov/Archives/edgar/data/354950/000035495024000062/hd-20240128.htm</x:v>
      </x:c>
      <x:c r="H180" t="str">
        <x:v>B45</x:v>
      </x:c>
    </x:row>
    <x:row r="181">
      <x:c r="A181" t="str">
        <x:v>Cash Flow | Buybacks</x:v>
      </x:c>
      <x:c r="B181" t="n">
        <x:v>2022</x:v>
      </x:c>
      <x:c r="C181" s="53" t="n">
        <x:v>-6696</x:v>
      </x:c>
      <x:c r="D181" t="str">
        <x:v>USD millions</x:v>
      </x:c>
      <x:c r="E181" t="str">
        <x:v>Form 10-K: Consolidated Statements of Cash Flows</x:v>
      </x:c>
      <x:c r="F181" t="str">
        <x:v>42</x:v>
      </x:c>
      <x:c r="G181" t="str">
        <x:v>https://www.sec.gov/Archives/edgar/data/354950/000035495024000062/hd-20240128.htm</x:v>
      </x:c>
      <x:c r="H181" t="str">
        <x:v>C45</x:v>
      </x:c>
    </x:row>
    <x:row r="182">
      <x:c r="A182" t="str">
        <x:v>Cash Flow | Buybacks</x:v>
      </x:c>
      <x:c r="B182" t="n">
        <x:v>2023</x:v>
      </x:c>
      <x:c r="C182" s="53" t="n">
        <x:v>-7951</x:v>
      </x:c>
      <x:c r="D182" t="str">
        <x:v>USD millions</x:v>
      </x:c>
      <x:c r="E182" t="str">
        <x:v>Form 10-K: Consolidated Statements of Cash Flows</x:v>
      </x:c>
      <x:c r="F182" t="str">
        <x:v>42</x:v>
      </x:c>
      <x:c r="G182" t="str">
        <x:v>https://www.sec.gov/Archives/edgar/data/354950/000035495024000062/hd-20240128.htm</x:v>
      </x:c>
      <x:c r="H182" t="str">
        <x:v>D45</x:v>
      </x:c>
    </x:row>
    <x:row r="183">
      <x:c r="A183" t="str">
        <x:v>Cash Flow | Buybacks</x:v>
      </x:c>
      <x:c r="B183" t="n">
        <x:v>2024</x:v>
      </x:c>
      <x:c r="C183" s="53" t="n">
        <x:v>-649</x:v>
      </x:c>
      <x:c r="D183" t="str">
        <x:v>USD millions</x:v>
      </x:c>
      <x:c r="E183" t="str">
        <x:v>Form 10-K: Consolidated Statements of Cash Flows</x:v>
      </x:c>
      <x:c r="F183" t="str">
        <x:v>43</x:v>
      </x:c>
      <x:c r="G183" t="str">
        <x:v>https://www.sec.gov/Archives/edgar/data/354950/000162828026019436/hd-20260201.htm</x:v>
      </x:c>
      <x:c r="H183" t="str">
        <x:v>E45</x:v>
      </x:c>
    </x:row>
    <x:row r="184">
      <x:c r="A184" t="str">
        <x:v>Cash Flow | Buybacks</x:v>
      </x:c>
      <x:c r="B184" t="n">
        <x:v>2025</x:v>
      </x:c>
      <x:c r="C184" s="53" t="n">
        <x:v>0</x:v>
      </x:c>
      <x:c r="D184" t="str">
        <x:v>USD millions</x:v>
      </x:c>
      <x:c r="E184" t="str">
        <x:v>Form 10-K: Consolidated Statements of Cash Flows</x:v>
      </x:c>
      <x:c r="F184" t="str">
        <x:v>43</x:v>
      </x:c>
      <x:c r="G184" t="str">
        <x:v>https://www.sec.gov/Archives/edgar/data/354950/000162828026019436/hd-20260201.htm</x:v>
      </x:c>
      <x:c r="H184" t="str">
        <x:v>F45</x:v>
      </x:c>
    </x:row>
    <x:row r="185">
      <x:c r="A185" t="str">
        <x:v>Cash Flow | CF statement D&amp;A</x:v>
      </x:c>
      <x:c r="B185" t="n">
        <x:v>2021</x:v>
      </x:c>
      <x:c r="C185" s="53" t="n">
        <x:v>2862</x:v>
      </x:c>
      <x:c r="D185" t="str">
        <x:v>USD millions</x:v>
      </x:c>
      <x:c r="E185" t="str">
        <x:v>Form 10-K: Consolidated Statements of Cash Flows</x:v>
      </x:c>
      <x:c r="F185" t="str">
        <x:v>42</x:v>
      </x:c>
      <x:c r="G185" t="str">
        <x:v>https://www.sec.gov/Archives/edgar/data/354950/000035495024000062/hd-20240128.htm</x:v>
      </x:c>
      <x:c r="H185" t="str">
        <x:v>B46</x:v>
      </x:c>
    </x:row>
    <x:row r="186">
      <x:c r="A186" t="str">
        <x:v>Cash Flow | CF statement D&amp;A</x:v>
      </x:c>
      <x:c r="B186" t="n">
        <x:v>2022</x:v>
      </x:c>
      <x:c r="C186" s="53" t="n">
        <x:v>2975</x:v>
      </x:c>
      <x:c r="D186" t="str">
        <x:v>USD millions</x:v>
      </x:c>
      <x:c r="E186" t="str">
        <x:v>Form 10-K: Consolidated Statements of Cash Flows</x:v>
      </x:c>
      <x:c r="F186" t="str">
        <x:v>42</x:v>
      </x:c>
      <x:c r="G186" t="str">
        <x:v>https://www.sec.gov/Archives/edgar/data/354950/000035495024000062/hd-20240128.htm</x:v>
      </x:c>
      <x:c r="H186" t="str">
        <x:v>C46</x:v>
      </x:c>
    </x:row>
    <x:row r="187">
      <x:c r="A187" t="str">
        <x:v>Cash Flow | CF statement D&amp;A</x:v>
      </x:c>
      <x:c r="B187" t="n">
        <x:v>2023</x:v>
      </x:c>
      <x:c r="C187" s="53" t="n">
        <x:v>3247</x:v>
      </x:c>
      <x:c r="D187" t="str">
        <x:v>USD millions</x:v>
      </x:c>
      <x:c r="E187" t="str">
        <x:v>Form 10-K: Consolidated Statements of Cash Flows</x:v>
      </x:c>
      <x:c r="F187" t="str">
        <x:v>42</x:v>
      </x:c>
      <x:c r="G187" t="str">
        <x:v>https://www.sec.gov/Archives/edgar/data/354950/000035495024000062/hd-20240128.htm</x:v>
      </x:c>
      <x:c r="H187" t="str">
        <x:v>D46</x:v>
      </x:c>
    </x:row>
    <x:row r="188">
      <x:c r="A188" t="str">
        <x:v>Cash Flow | CF statement D&amp;A</x:v>
      </x:c>
      <x:c r="B188" t="n">
        <x:v>2024</x:v>
      </x:c>
      <x:c r="C188" s="53" t="n">
        <x:v>3761</x:v>
      </x:c>
      <x:c r="D188" t="str">
        <x:v>USD millions</x:v>
      </x:c>
      <x:c r="E188" t="str">
        <x:v>Form 10-K: Consolidated Statements of Cash Flows</x:v>
      </x:c>
      <x:c r="F188" t="str">
        <x:v>43</x:v>
      </x:c>
      <x:c r="G188" t="str">
        <x:v>https://www.sec.gov/Archives/edgar/data/354950/000162828026019436/hd-20260201.htm</x:v>
      </x:c>
      <x:c r="H188" t="str">
        <x:v>E46</x:v>
      </x:c>
    </x:row>
    <x:row r="189">
      <x:c r="A189" t="str">
        <x:v>Cash Flow | CF statement D&amp;A</x:v>
      </x:c>
      <x:c r="B189" t="n">
        <x:v>2025</x:v>
      </x:c>
      <x:c r="C189" s="53" t="n">
        <x:v>4121</x:v>
      </x:c>
      <x:c r="D189" t="str">
        <x:v>USD millions</x:v>
      </x:c>
      <x:c r="E189" t="str">
        <x:v>Form 10-K: Consolidated Statements of Cash Flows</x:v>
      </x:c>
      <x:c r="F189" t="str">
        <x:v>43</x:v>
      </x:c>
      <x:c r="G189" t="str">
        <x:v>https://www.sec.gov/Archives/edgar/data/354950/000162828026019436/hd-20260201.htm</x:v>
      </x:c>
      <x:c r="H189" t="str">
        <x:v>F46</x:v>
      </x:c>
    </x:row>
    <x:row r="190">
      <x:c r="A190" t="str">
        <x:v>Cash Flow | Stock-based comp</x:v>
      </x:c>
      <x:c r="B190" t="n">
        <x:v>2021</x:v>
      </x:c>
      <x:c r="C190" s="53" t="n">
        <x:v>399</x:v>
      </x:c>
      <x:c r="D190" t="str">
        <x:v>USD millions</x:v>
      </x:c>
      <x:c r="E190" t="str">
        <x:v>Form 10-K: Consolidated Statements of Cash Flows</x:v>
      </x:c>
      <x:c r="F190" t="str">
        <x:v>42</x:v>
      </x:c>
      <x:c r="G190" t="str">
        <x:v>https://www.sec.gov/Archives/edgar/data/354950/000035495024000062/hd-20240128.htm</x:v>
      </x:c>
      <x:c r="H190" t="str">
        <x:v>B47</x:v>
      </x:c>
    </x:row>
    <x:row r="191">
      <x:c r="A191" t="str">
        <x:v>Cash Flow | Stock-based comp</x:v>
      </x:c>
      <x:c r="B191" t="n">
        <x:v>2022</x:v>
      </x:c>
      <x:c r="C191" s="53" t="n">
        <x:v>366</x:v>
      </x:c>
      <x:c r="D191" t="str">
        <x:v>USD millions</x:v>
      </x:c>
      <x:c r="E191" t="str">
        <x:v>Form 10-K: Consolidated Statements of Cash Flows</x:v>
      </x:c>
      <x:c r="F191" t="str">
        <x:v>42</x:v>
      </x:c>
      <x:c r="G191" t="str">
        <x:v>https://www.sec.gov/Archives/edgar/data/354950/000035495024000062/hd-20240128.htm</x:v>
      </x:c>
      <x:c r="H191" t="str">
        <x:v>C47</x:v>
      </x:c>
    </x:row>
    <x:row r="192">
      <x:c r="A192" t="str">
        <x:v>Cash Flow | Stock-based comp</x:v>
      </x:c>
      <x:c r="B192" t="n">
        <x:v>2023</x:v>
      </x:c>
      <x:c r="C192" s="53" t="n">
        <x:v>380</x:v>
      </x:c>
      <x:c r="D192" t="str">
        <x:v>USD millions</x:v>
      </x:c>
      <x:c r="E192" t="str">
        <x:v>Form 10-K: Consolidated Statements of Cash Flows</x:v>
      </x:c>
      <x:c r="F192" t="str">
        <x:v>42</x:v>
      </x:c>
      <x:c r="G192" t="str">
        <x:v>https://www.sec.gov/Archives/edgar/data/354950/000035495024000062/hd-20240128.htm</x:v>
      </x:c>
      <x:c r="H192" t="str">
        <x:v>D47</x:v>
      </x:c>
    </x:row>
    <x:row r="193">
      <x:c r="A193" t="str">
        <x:v>Cash Flow | Stock-based comp</x:v>
      </x:c>
      <x:c r="B193" t="n">
        <x:v>2024</x:v>
      </x:c>
      <x:c r="C193" s="53" t="n">
        <x:v>442</x:v>
      </x:c>
      <x:c r="D193" t="str">
        <x:v>USD millions</x:v>
      </x:c>
      <x:c r="E193" t="str">
        <x:v>Form 10-K: Consolidated Statements of Cash Flows</x:v>
      </x:c>
      <x:c r="F193" t="str">
        <x:v>43</x:v>
      </x:c>
      <x:c r="G193" t="str">
        <x:v>https://www.sec.gov/Archives/edgar/data/354950/000162828026019436/hd-20260201.htm</x:v>
      </x:c>
      <x:c r="H193" t="str">
        <x:v>E47</x:v>
      </x:c>
    </x:row>
    <x:row r="194">
      <x:c r="A194" t="str">
        <x:v>Cash Flow | Stock-based comp</x:v>
      </x:c>
      <x:c r="B194" t="n">
        <x:v>2025</x:v>
      </x:c>
      <x:c r="C194" s="53" t="n">
        <x:v>522</x:v>
      </x:c>
      <x:c r="D194" t="str">
        <x:v>USD millions</x:v>
      </x:c>
      <x:c r="E194" t="str">
        <x:v>Form 10-K: Consolidated Statements of Cash Flows</x:v>
      </x:c>
      <x:c r="F194" t="str">
        <x:v>43</x:v>
      </x:c>
      <x:c r="G194" t="str">
        <x:v>https://www.sec.gov/Archives/edgar/data/354950/000162828026019436/hd-20260201.htm</x:v>
      </x:c>
      <x:c r="H194" t="str">
        <x:v>F47</x:v>
      </x:c>
    </x:row>
    <x:row r="195">
      <x:c r="A195" t="str">
        <x:v>Opening FY2020 inventory</x:v>
      </x:c>
      <x:c r="B195" t="n">
        <x:v>2020</x:v>
      </x:c>
      <x:c r="C195" s="53" t="n">
        <x:v>16627</x:v>
      </x:c>
      <x:c r="D195" t="str">
        <x:v>USD millions</x:v>
      </x:c>
      <x:c r="E195" t="str">
        <x:v>FY2021 Form 10-K consolidated balance sheets</x:v>
      </x:c>
      <x:c r="F195" t="str">
        <x:v>37</x:v>
      </x:c>
      <x:c r="G195" t="str">
        <x:v>https://www.sec.gov/Archives/edgar/data/354950/000035495022000070/hd-20220130.htm</x:v>
      </x:c>
      <x:c r="H195" t="str">
        <x:v>SOURCE DATA!J5</x:v>
      </x:c>
    </x:row>
    <x:row r="196">
      <x:c r="A196" t="str">
        <x:v>Opening FY2020 assets</x:v>
      </x:c>
      <x:c r="B196" t="n">
        <x:v>2020</x:v>
      </x:c>
      <x:c r="C196" s="53" t="n">
        <x:v>70581</x:v>
      </x:c>
      <x:c r="D196" t="str">
        <x:v>USD millions</x:v>
      </x:c>
      <x:c r="E196" t="str">
        <x:v>FY2021 Form 10-K consolidated balance sheets</x:v>
      </x:c>
      <x:c r="F196" t="str">
        <x:v>37</x:v>
      </x:c>
      <x:c r="G196" t="str">
        <x:v>https://www.sec.gov/Archives/edgar/data/354950/000035495022000070/hd-20220130.htm</x:v>
      </x:c>
      <x:c r="H196" t="str">
        <x:v>SOURCE DATA!J6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50" t="str">
        <x:v>VISUAL SUMMARY  |  REPORTED PERFORMANCE FY2021–FY2025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2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</x:row>
    <x:row r="4" ht="24" customHeight="1">
      <x:c r="A4" s="13" t="str">
        <x:v>Year</x:v>
      </x:c>
      <x:c r="B4" s="13" t="n">
        <x:v>2021</x:v>
      </x:c>
      <x:c r="C4" s="13" t="n">
        <x:v>2022</x:v>
      </x:c>
      <x:c r="D4" s="13" t="n">
        <x:v>2023</x:v>
      </x:c>
      <x:c r="E4" s="13" t="n">
        <x:v>2024</x:v>
      </x:c>
      <x:c r="F4" s="13" t="n">
        <x:v>2025</x:v>
      </x:c>
    </x:row>
    <x:row r="5">
      <x:c r="A5" t="str">
        <x:v>Revenue ($mm)</x:v>
      </x:c>
      <x:c r="B5" t="n">
        <x:f>'RATIO ANALYSIS'!B7</x:f>
        <x:v>151157</x:v>
      </x:c>
      <x:c r="C5" t="n">
        <x:f>'RATIO ANALYSIS'!C7</x:f>
        <x:v>157403</x:v>
      </x:c>
      <x:c r="D5" t="n">
        <x:f>'RATIO ANALYSIS'!D7</x:f>
        <x:v>152669</x:v>
      </x:c>
      <x:c r="E5" t="n">
        <x:f>'RATIO ANALYSIS'!E7</x:f>
        <x:v>159514</x:v>
      </x:c>
      <x:c r="F5" t="n">
        <x:f>'RATIO ANALYSIS'!F7</x:f>
        <x:v>164683</x:v>
      </x:c>
    </x:row>
    <x:row r="6">
      <x:c r="A6" t="str">
        <x:v>Operating income ($mm)</x:v>
      </x:c>
      <x:c r="B6" t="n">
        <x:f>'SOURCE DATA'!B11</x:f>
        <x:v>23040</x:v>
      </x:c>
      <x:c r="C6" t="n">
        <x:f>'SOURCE DATA'!C11</x:f>
        <x:v>24039</x:v>
      </x:c>
      <x:c r="D6" t="n">
        <x:f>'SOURCE DATA'!D11</x:f>
        <x:v>21689</x:v>
      </x:c>
      <x:c r="E6" t="n">
        <x:f>'SOURCE DATA'!E11</x:f>
        <x:v>21526</x:v>
      </x:c>
      <x:c r="F6" t="n">
        <x:f>'SOURCE DATA'!F11</x:f>
        <x:v>20890</x:v>
      </x:c>
    </x:row>
    <x:row r="7">
      <x:c r="A7" t="str">
        <x:v>Free cash flow ($mm)</x:v>
      </x:c>
      <x:c r="B7" t="n">
        <x:f>'RATIO ANALYSIS'!B18</x:f>
        <x:v>14005</x:v>
      </x:c>
      <x:c r="C7" t="n">
        <x:f>'RATIO ANALYSIS'!C18</x:f>
        <x:v>11496</x:v>
      </x:c>
      <x:c r="D7" t="n">
        <x:f>'RATIO ANALYSIS'!D18</x:f>
        <x:v>17946</x:v>
      </x:c>
      <x:c r="E7" t="n">
        <x:f>'RATIO ANALYSIS'!E18</x:f>
        <x:v>16325</x:v>
      </x:c>
      <x:c r="F7" t="n">
        <x:f>'RATIO ANALYSIS'!F18</x:f>
        <x:v>12646</x:v>
      </x:c>
    </x:row>
    <x:row r="28">
      <x:c r="A28" t="str">
        <x:v>Series / year</x:v>
      </x:c>
      <x:c r="B28" t="n">
        <x:v>2021</x:v>
      </x:c>
      <x:c r="C28" t="n">
        <x:v>2022</x:v>
      </x:c>
      <x:c r="D28" t="n">
        <x:v>2023</x:v>
      </x:c>
      <x:c r="E28" t="n">
        <x:v>2024</x:v>
      </x:c>
      <x:c r="F28" t="n">
        <x:v>2025</x:v>
      </x:c>
    </x:row>
    <x:row r="29">
      <x:c r="A29" t="str">
        <x:v>Operating profit ($mm)</x:v>
      </x:c>
      <x:c r="B29" t="n">
        <x:f>'SOURCE DATA'!B11</x:f>
        <x:v>23040</x:v>
      </x:c>
      <x:c r="C29" t="n">
        <x:f>'SOURCE DATA'!C11</x:f>
        <x:v>24039</x:v>
      </x:c>
      <x:c r="D29" t="n">
        <x:f>'SOURCE DATA'!D11</x:f>
        <x:v>21689</x:v>
      </x:c>
      <x:c r="E29" t="n">
        <x:f>'SOURCE DATA'!E11</x:f>
        <x:v>21526</x:v>
      </x:c>
      <x:c r="F29" t="n">
        <x:f>'SOURCE DATA'!F11</x:f>
        <x:v>20890</x:v>
      </x:c>
    </x:row>
    <x:row r="30">
      <x:c r="A30" t="str">
        <x:v>Free cash flow ($mm)</x:v>
      </x:c>
      <x:c r="B30" t="n">
        <x:f>'RATIO ANALYSIS'!B18</x:f>
        <x:v>14005</x:v>
      </x:c>
      <x:c r="C30" t="n">
        <x:f>'RATIO ANALYSIS'!C18</x:f>
        <x:v>11496</x:v>
      </x:c>
      <x:c r="D30" t="n">
        <x:f>'RATIO ANALYSIS'!D18</x:f>
        <x:v>17946</x:v>
      </x:c>
      <x:c r="E30" t="n">
        <x:f>'RATIO ANALYSIS'!E18</x:f>
        <x:v>16325</x:v>
      </x:c>
      <x:c r="F30" t="n">
        <x:f>'RATIO ANALYSIS'!F18</x:f>
        <x:v>12646</x:v>
      </x:c>
    </x:row>
  </x:sheetData>
  <x:mergeCells>
    <x:mergeCell ref="A1:P2"/>
  </x:mergeCells>
  <x:pageMargins left="0.7" right="0.7" top="0.75" bottom="0.75" header="0.3" footer="0.3"/>
  <x:drawing xmlns:r="http://schemas.openxmlformats.org/officeDocument/2006/relationships" r:id="R1703a63f48664c86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67" hidden="0" customWidth="1"/>
    <x:col min="4" max="4" width="16" hidden="0" customWidth="1"/>
    <x:col min="5" max="5" width="16" hidden="0" customWidth="1"/>
    <x:col min="6" max="6" width="16" hidden="0" customWidth="1"/>
    <x:col min="7" max="7" width="66" hidden="0" customWidth="1"/>
  </x:cols>
  <x:sheetData>
    <x:row r="1" ht="23" customHeight="1">
      <x:c r="A1" s="56" t="str">
        <x:v>HOME DEPOT | DCF ASSUMPTIONS</x:v>
      </x:c>
      <x:c r="B1" s="56"/>
      <x:c r="C1" s="56"/>
      <x:c r="D1" s="56"/>
      <x:c r="E1" s="56"/>
      <x:c r="F1" s="56"/>
      <x:c r="G1" s="56"/>
    </x:row>
    <x:row r="2" ht="23" customHeight="1">
      <x:c r="A2" s="56"/>
      <x:c r="B2" s="56"/>
      <x:c r="C2" s="56"/>
      <x:c r="D2" s="56"/>
      <x:c r="E2" s="56"/>
      <x:c r="F2" s="56"/>
      <x:c r="G2" s="56"/>
    </x:row>
    <x:row r="4" ht="21" customHeight="1">
      <x:c r="A4" s="58" t="str">
        <x:v>Reported FY2025 baseline (USD millions)</x:v>
      </x:c>
      <x:c r="B4" s="58" t="str">
        <x:v>Value</x:v>
      </x:c>
      <x:c r="C4" t="str">
        <x:v>Primary citation / source statement</x:v>
      </x:c>
    </x:row>
    <x:row r="5">
      <x:c r="A5" t="str">
        <x:v>Net sales</x:v>
      </x:c>
      <x:c r="B5" s="26" t="n">
        <x:v>164683</x:v>
      </x:c>
      <x:c r="C5" t="str">
        <x:v>FY2025 10-K p.40, Consolidated Statements of Earnings</x:v>
      </x:c>
    </x:row>
    <x:row r="6">
      <x:c r="A6" t="str">
        <x:v>Operating income (EBIT)</x:v>
      </x:c>
      <x:c r="B6" s="26" t="n">
        <x:v>20890</x:v>
      </x:c>
      <x:c r="C6" t="str">
        <x:v>FY2025 10-K p.40, Consolidated Statements of Earnings</x:v>
      </x:c>
    </x:row>
    <x:row r="7">
      <x:c r="A7" t="str">
        <x:v>Depreciation &amp; amortization, cash flow</x:v>
      </x:c>
      <x:c r="B7" s="26" t="n">
        <x:v>4121</x:v>
      </x:c>
      <x:c r="C7" t="str">
        <x:v>FY2025 10-K p.43: 3,514 + 607</x:v>
      </x:c>
    </x:row>
    <x:row r="8">
      <x:c r="A8" t="str">
        <x:v>Capital expenditures</x:v>
      </x:c>
      <x:c r="B8" s="26" t="n">
        <x:v>3679</x:v>
      </x:c>
      <x:c r="C8" t="str">
        <x:v>FY2025 10-K p.43: absolute value of cash capex</x:v>
      </x:c>
    </x:row>
    <x:row r="9">
      <x:c r="A9" t="str">
        <x:v>Operating NWC (defined below)</x:v>
      </x:c>
      <x:c r="B9" s="26" t="n">
        <x:f>B49</x:f>
        <x:v>11427</x:v>
      </x:c>
      <x:c r="C9" t="str">
        <x:v>Derived from FY2025 10-K p.39</x:v>
      </x:c>
    </x:row>
    <x:row r="10">
      <x:c r="A10" t="str">
        <x:v>Short-term debt</x:v>
      </x:c>
      <x:c r="B10" s="26" t="n">
        <x:v>4464</x:v>
      </x:c>
      <x:c r="C10" t="str">
        <x:v>FY2025 10-K p.39</x:v>
      </x:c>
    </x:row>
    <x:row r="11">
      <x:c r="A11" t="str">
        <x:v>Current maturities, long-term debt</x:v>
      </x:c>
      <x:c r="B11" s="26" t="n">
        <x:v>4967</x:v>
      </x:c>
      <x:c r="C11" t="str">
        <x:v>FY2025 10-K p.39</x:v>
      </x:c>
    </x:row>
    <x:row r="12">
      <x:c r="A12" t="str">
        <x:v>Noncurrent long-term debt</x:v>
      </x:c>
      <x:c r="B12" s="26" t="n">
        <x:v>46341</x:v>
      </x:c>
      <x:c r="C12" t="str">
        <x:v>FY2025 10-K p.39</x:v>
      </x:c>
    </x:row>
    <x:row r="13">
      <x:c r="A13" t="str">
        <x:v>Cash and equivalents</x:v>
      </x:c>
      <x:c r="B13" s="26" t="n">
        <x:v>1389</x:v>
      </x:c>
      <x:c r="C13" t="str">
        <x:v>FY2025 10-K p.39</x:v>
      </x:c>
    </x:row>
    <x:row r="14">
      <x:c r="A14" t="str">
        <x:v>Year-end shares outstanding (millions)</x:v>
      </x:c>
      <x:c r="B14" s="26" t="n">
        <x:v>996</x:v>
      </x:c>
      <x:c r="C14" t="str">
        <x:v>FY2025 10-K p.39; not weighted-average shares</x:v>
      </x:c>
    </x:row>
    <x:row r="17" ht="21" customHeight="1">
      <x:c r="A17" s="58" t="str">
        <x:v>Model assumptions (illustrative, not company guidance)</x:v>
      </x:c>
      <x:c r="B17" s="58" t="str">
        <x:v>FY2026</x:v>
      </x:c>
      <x:c r="C17" s="58" t="str">
        <x:v>FY2027</x:v>
      </x:c>
      <x:c r="D17" s="58" t="str">
        <x:v>FY2028</x:v>
      </x:c>
      <x:c r="E17" s="58" t="str">
        <x:v>FY2029</x:v>
      </x:c>
      <x:c r="F17" s="58" t="str">
        <x:v>FY2030</x:v>
      </x:c>
      <x:c r="G17" s="58" t="str">
        <x:v>Assumption context</x:v>
      </x:c>
    </x:row>
    <x:row r="18">
      <x:c r="A18" t="str">
        <x:v>Sales growth</x:v>
      </x:c>
      <x:c r="B18" s="59" t="n">
        <x:v>0.03</x:v>
      </x:c>
      <x:c r="C18" s="59" t="n">
        <x:v>0.032</x:v>
      </x:c>
      <x:c r="D18" s="59" t="n">
        <x:v>0.032</x:v>
      </x:c>
      <x:c r="E18" s="59" t="n">
        <x:v>0.03</x:v>
      </x:c>
      <x:c r="F18" s="59" t="n">
        <x:v>0.028</x:v>
      </x:c>
      <x:c r="G18" t="str">
        <x:v>Student scenario: modest low-single-digit growth; not a company forecast.</x:v>
      </x:c>
    </x:row>
    <x:row r="19">
      <x:c r="A19" t="str">
        <x:v>Operating margin</x:v>
      </x:c>
      <x:c r="B19" s="59" t="n">
        <x:v>0.129</x:v>
      </x:c>
      <x:c r="C19" s="59" t="n">
        <x:v>0.13</x:v>
      </x:c>
      <x:c r="D19" s="59" t="n">
        <x:v>0.132</x:v>
      </x:c>
      <x:c r="E19" s="59" t="n">
        <x:v>0.133</x:v>
      </x:c>
      <x:c r="F19" s="59" t="n">
        <x:v>0.134</x:v>
      </x:c>
      <x:c r="G19" t="str">
        <x:v>Starts close to FY2025's 12.7%; illustrative gradual improvement.</x:v>
      </x:c>
    </x:row>
    <x:row r="20">
      <x:c r="A20" t="str">
        <x:v>Cash tax rate</x:v>
      </x:c>
      <x:c r="B20" s="59" t="n">
        <x:v>0.24</x:v>
      </x:c>
      <x:c r="C20" s="59" t="n">
        <x:v>0.24</x:v>
      </x:c>
      <x:c r="D20" s="59" t="n">
        <x:v>0.24</x:v>
      </x:c>
      <x:c r="E20" s="59" t="n">
        <x:v>0.24</x:v>
      </x:c>
      <x:c r="F20" s="59" t="n">
        <x:v>0.24</x:v>
      </x:c>
      <x:c r="G20" t="str">
        <x:v>Approximate FY2025 effective tax rate; assumes flat future rate.</x:v>
      </x:c>
    </x:row>
    <x:row r="21">
      <x:c r="A21" t="str">
        <x:v>D&amp;A / sales</x:v>
      </x:c>
      <x:c r="B21" s="59" t="n">
        <x:v>0.025</x:v>
      </x:c>
      <x:c r="C21" s="59" t="n">
        <x:v>0.025</x:v>
      </x:c>
      <x:c r="D21" s="59" t="n">
        <x:v>0.025</x:v>
      </x:c>
      <x:c r="E21" s="59" t="n">
        <x:v>0.025</x:v>
      </x:c>
      <x:c r="F21" s="59" t="n">
        <x:v>0.025</x:v>
      </x:c>
      <x:c r="G21" t="str">
        <x:v>FY2025 cash-flow D&amp;A of $4,121m / $164,683m sales.</x:v>
      </x:c>
    </x:row>
    <x:row r="22">
      <x:c r="A22" t="str">
        <x:v>Capex / sales</x:v>
      </x:c>
      <x:c r="B22" s="59" t="n">
        <x:v>0.023</x:v>
      </x:c>
      <x:c r="C22" s="59" t="n">
        <x:v>0.023</x:v>
      </x:c>
      <x:c r="D22" s="59" t="n">
        <x:v>0.023</x:v>
      </x:c>
      <x:c r="E22" s="59" t="n">
        <x:v>0.023</x:v>
      </x:c>
      <x:c r="F22" s="59" t="n">
        <x:v>0.023</x:v>
      </x:c>
      <x:c r="G22" t="str">
        <x:v>FY2025 capex $3,679m / sales $164,683m; slight reinvestment buffer.</x:v>
      </x:c>
    </x:row>
    <x:row r="23">
      <x:c r="A23" t="str">
        <x:v>Operating NWC / sales</x:v>
      </x:c>
      <x:c r="B23" s="59" t="n">
        <x:v>0.07</x:v>
      </x:c>
      <x:c r="C23" s="59" t="n">
        <x:v>0.07</x:v>
      </x:c>
      <x:c r="D23" s="59" t="n">
        <x:v>0.07</x:v>
      </x:c>
      <x:c r="E23" s="59" t="n">
        <x:v>0.07</x:v>
      </x:c>
      <x:c r="F23" s="59" t="n">
        <x:v>0.07</x:v>
      </x:c>
      <x:c r="G23" t="str">
        <x:v>FY2025 operational NWC $11,427m / sales ≈6.9%; assumes 7%.</x:v>
      </x:c>
    </x:row>
    <x:row r="26" ht="21" customHeight="1">
      <x:c r="A26" s="58" t="str">
        <x:v>Long-run discount rate &amp; bridge</x:v>
      </x:c>
      <x:c r="B26" s="58" t="str">
        <x:v>Value</x:v>
      </x:c>
    </x:row>
    <x:row r="27">
      <x:c r="A27" t="str">
        <x:v>WACC (illustrative)</x:v>
      </x:c>
      <x:c r="B27" s="59" t="n">
        <x:v>0.08</x:v>
      </x:c>
    </x:row>
    <x:row r="28">
      <x:c r="A28" t="str">
        <x:v>Terminal FCFF growth (illustrative)</x:v>
      </x:c>
      <x:c r="B28" s="59" t="n">
        <x:v>0.025</x:v>
      </x:c>
    </x:row>
    <x:row r="29">
      <x:c r="A29" t="str">
        <x:v>Net debt / EBITDA adjustments</x:v>
      </x:c>
      <x:c r="B29" t="str">
        <x:v>See bridge in model</x:v>
      </x:c>
    </x:row>
    <x:row r="30">
      <x:c r="A30" t="str">
        <x:v>Valuation as of</x:v>
      </x:c>
      <x:c r="B30" t="str">
        <x:v>FY2025 year-end (Feb 1, 2026)</x:v>
      </x:c>
    </x:row>
    <x:row r="33" ht="28" customHeight="1">
      <x:c r="A33" s="61" t="str">
        <x:v>Illustrative scenario assumptions are not observable facts. No market price, target price, or BUY/SELL rating is supplied.</x:v>
      </x:c>
      <x:c r="B33" s="61"/>
      <x:c r="C33" s="61"/>
      <x:c r="D33" s="61"/>
      <x:c r="E33" s="61"/>
      <x:c r="F33" s="61"/>
      <x:c r="G33" s="61"/>
    </x:row>
    <x:row r="36" ht="21" customHeight="1">
      <x:c r="A36" s="58" t="str">
        <x:v>FY2025 operating working capital components</x:v>
      </x:c>
      <x:c r="B36" s="58" t="str">
        <x:v>USD mm</x:v>
      </x:c>
      <x:c r="C36" s="58" t="str">
        <x:v>SEC Form 10-K FY2025, p.39</x:v>
      </x:c>
    </x:row>
    <x:row r="37">
      <x:c r="A37" t="str">
        <x:v>Receivables</x:v>
      </x:c>
      <x:c r="B37" t="n">
        <x:v>5597</x:v>
      </x:c>
      <x:c r="C37" t="str">
        <x:v>FY2025 Form 10-K, Consolidated Balance Sheets p.39</x:v>
      </x:c>
    </x:row>
    <x:row r="38">
      <x:c r="A38" t="str">
        <x:v>Inventory</x:v>
      </x:c>
      <x:c r="B38" t="n">
        <x:v>25817</x:v>
      </x:c>
      <x:c r="C38" t="str">
        <x:v>FY2025 Form 10-K, Consolidated Balance Sheets p.39</x:v>
      </x:c>
    </x:row>
    <x:row r="39">
      <x:c r="A39" t="str">
        <x:v>Other current assets</x:v>
      </x:c>
      <x:c r="B39" t="n">
        <x:v>1588</x:v>
      </x:c>
      <x:c r="C39" t="str">
        <x:v>FY2025 Form 10-K, Consolidated Balance Sheets p.39</x:v>
      </x:c>
    </x:row>
    <x:row r="40">
      <x:c r="A40" t="str">
        <x:v>Accounts payable</x:v>
      </x:c>
      <x:c r="B40" t="n">
        <x:v>11491</x:v>
      </x:c>
      <x:c r="C40" t="str">
        <x:v>FY2025 Form 10-K, Consolidated Balance Sheets p.39</x:v>
      </x:c>
    </x:row>
    <x:row r="41">
      <x:c r="A41" t="str">
        <x:v>Accrued salaries and expenses</x:v>
      </x:c>
      <x:c r="B41" t="n">
        <x:v>2529</x:v>
      </x:c>
      <x:c r="C41" t="str">
        <x:v>FY2025 Form 10-K, Consolidated Balance Sheets p.39</x:v>
      </x:c>
    </x:row>
    <x:row r="42">
      <x:c r="A42" t="str">
        <x:v>Sales taxes payable</x:v>
      </x:c>
      <x:c r="B42" t="n">
        <x:v>508</x:v>
      </x:c>
      <x:c r="C42" t="str">
        <x:v>FY2025 Form 10-K, Consolidated Balance Sheets p.39</x:v>
      </x:c>
    </x:row>
    <x:row r="43">
      <x:c r="A43" t="str">
        <x:v>Deferred revenue</x:v>
      </x:c>
      <x:c r="B43" t="n">
        <x:v>2575</x:v>
      </x:c>
      <x:c r="C43" t="str">
        <x:v>FY2025 Form 10-K, Consolidated Balance Sheets p.39</x:v>
      </x:c>
    </x:row>
    <x:row r="44">
      <x:c r="A44" t="str">
        <x:v>Income taxes payable</x:v>
      </x:c>
      <x:c r="B44" t="n">
        <x:v>114</x:v>
      </x:c>
      <x:c r="C44" t="str">
        <x:v>FY2025 Form 10-K, Consolidated Balance Sheets p.39</x:v>
      </x:c>
    </x:row>
    <x:row r="45">
      <x:c r="A45" t="str">
        <x:v>Other accrued expenses</x:v>
      </x:c>
      <x:c r="B45" t="n">
        <x:v>4358</x:v>
      </x:c>
      <x:c r="C45" t="str">
        <x:v>FY2025 Form 10-K, Consolidated Balance Sheets p.39</x:v>
      </x:c>
    </x:row>
    <x:row r="47">
      <x:c r="A47" t="str">
        <x:v>Operating noncash current assets</x:v>
      </x:c>
      <x:c r="B47" t="n">
        <x:f>SUM(B37:B39)</x:f>
        <x:v>33002</x:v>
      </x:c>
    </x:row>
    <x:row r="48">
      <x:c r="A48" t="str">
        <x:v>Operating current liabilities</x:v>
      </x:c>
      <x:c r="B48" t="n">
        <x:f>SUM(B40:B45)</x:f>
        <x:v>21575</x:v>
      </x:c>
    </x:row>
    <x:row r="49" ht="23" customHeight="1">
      <x:c r="A49" s="63" t="str">
        <x:v>Operating net working capital</x:v>
      </x:c>
      <x:c r="B49" s="63" t="n">
        <x:f>B47-B48</x:f>
        <x:v>11427</x:v>
      </x:c>
      <x:c r="C49" s="63"/>
    </x:row>
    <x:row r="51">
      <x:c r="A51" t="str">
        <x:v>Working capital definition</x:v>
      </x:c>
      <x:c r="B51" t="str">
        <x:v>Excludes cash, debt, and lease liabilities.</x:v>
      </x:c>
      <x:c r="C51" t="str"/>
    </x:row>
    <x:row r="52">
      <x:c r="A52" t="str">
        <x:v>One-time M&amp;A effects</x:v>
      </x:c>
      <x:c r="B52" t="str">
        <x:v>Change in 2025 NWC includes acquisitions; do not treat as normalized run rate.</x:v>
      </x:c>
      <x:c r="C52" t="str"/>
    </x:row>
    <x:row r="53">
      <x:c r="A53" t="str">
        <x:v>Sensitivity limitation</x:v>
      </x:c>
      <x:c r="B53" t="str">
        <x:v>Model assumes annual NWC level = 7% of sales; simplified proxy.</x:v>
      </x:c>
      <x:c r="C53" t="str"/>
    </x:row>
  </x:sheetData>
  <x:mergeCells>
    <x:mergeCell ref="A1:G2"/>
    <x:mergeCell ref="A33:G3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3" customHeight="1">
      <x:c r="A1" s="56" t="str">
        <x:v>HOME DEPOT | UNLEVERED CASH FLOW DCF</x:v>
      </x:c>
      <x:c r="B1" s="56"/>
      <x:c r="C1" s="56"/>
      <x:c r="D1" s="56"/>
      <x:c r="E1" s="56"/>
      <x:c r="F1" s="56"/>
      <x:c r="G1" s="56"/>
    </x:row>
    <x:row r="2" ht="23" customHeight="1">
      <x:c r="A2" s="56"/>
      <x:c r="B2" s="56"/>
      <x:c r="C2" s="56"/>
      <x:c r="D2" s="56"/>
      <x:c r="E2" s="56"/>
      <x:c r="F2" s="56"/>
      <x:c r="G2" s="56"/>
    </x:row>
    <x:row r="4" ht="21" customHeight="1">
      <x:c r="A4" s="58" t="str">
        <x:v>Reported baseline / projections</x:v>
      </x:c>
      <x:c r="B4" s="58" t="str">
        <x:v>FY2025</x:v>
      </x:c>
      <x:c r="C4" s="58" t="str">
        <x:v>FY2026</x:v>
      </x:c>
      <x:c r="D4" s="58" t="str">
        <x:v>FY2027</x:v>
      </x:c>
      <x:c r="E4" s="58" t="str">
        <x:v>FY2028</x:v>
      </x:c>
      <x:c r="F4" s="58" t="str">
        <x:v>FY2029</x:v>
      </x:c>
      <x:c r="G4" s="58" t="str">
        <x:v>FY2030</x:v>
      </x:c>
    </x:row>
    <x:row r="6" ht="23" customHeight="1">
      <x:c r="A6" s="63" t="str">
        <x:v>Net sales ($m)</x:v>
      </x:c>
      <x:c r="B6" s="63" t="n">
        <x:f>'DCF ASSUMPTIONS'!B5</x:f>
        <x:v>164683</x:v>
      </x:c>
      <x:c r="C6" s="65" t="n">
        <x:f>B6*(1+'DCF ASSUMPTIONS'!B18)</x:f>
        <x:v>169623.49</x:v>
      </x:c>
      <x:c r="D6" s="65" t="n">
        <x:f>C6*(1+'DCF ASSUMPTIONS'!C18)</x:f>
        <x:v>175051.44168</x:v>
      </x:c>
      <x:c r="E6" s="65" t="n">
        <x:f>D6*(1+'DCF ASSUMPTIONS'!D18)</x:f>
        <x:v>180653.08781375998</x:v>
      </x:c>
      <x:c r="F6" s="65" t="n">
        <x:f>E6*(1+'DCF ASSUMPTIONS'!E18)</x:f>
        <x:v>186072.6804481728</x:v>
      </x:c>
      <x:c r="G6" s="65" t="n">
        <x:f>F6*(1+'DCF ASSUMPTIONS'!F18)</x:f>
        <x:v>191282.71550072162</x:v>
      </x:c>
    </x:row>
    <x:row r="7">
      <x:c r="A7" t="str">
        <x:v>Revenue growth</x:v>
      </x:c>
      <x:c r="B7" s="67"/>
      <x:c r="C7" s="67" t="n">
        <x:f>'DCF ASSUMPTIONS'!B18</x:f>
        <x:v>0.03</x:v>
      </x:c>
      <x:c r="D7" s="67" t="n">
        <x:f>'DCF ASSUMPTIONS'!C18</x:f>
        <x:v>0.032</x:v>
      </x:c>
      <x:c r="E7" s="67" t="n">
        <x:f>'DCF ASSUMPTIONS'!D18</x:f>
        <x:v>0.032</x:v>
      </x:c>
      <x:c r="F7" s="67" t="n">
        <x:f>'DCF ASSUMPTIONS'!E18</x:f>
        <x:v>0.03</x:v>
      </x:c>
      <x:c r="G7" s="67" t="n">
        <x:f>'DCF ASSUMPTIONS'!F18</x:f>
        <x:v>0.028</x:v>
      </x:c>
    </x:row>
    <x:row r="8">
      <x:c r="C8" s="66"/>
      <x:c r="D8" s="66"/>
      <x:c r="E8" s="66"/>
      <x:c r="F8" s="66"/>
      <x:c r="G8" s="66"/>
    </x:row>
    <x:row r="9">
      <x:c r="A9" t="str">
        <x:v>Operating margin</x:v>
      </x:c>
      <x:c r="B9" s="67" t="n">
        <x:f>B10/B6</x:f>
        <x:v>0.12684976591390731</x:v>
      </x:c>
      <x:c r="C9" s="67" t="n">
        <x:f>'DCF ASSUMPTIONS'!B19</x:f>
        <x:v>0.129</x:v>
      </x:c>
      <x:c r="D9" s="67" t="n">
        <x:f>'DCF ASSUMPTIONS'!C19</x:f>
        <x:v>0.13</x:v>
      </x:c>
      <x:c r="E9" s="67" t="n">
        <x:f>'DCF ASSUMPTIONS'!D19</x:f>
        <x:v>0.132</x:v>
      </x:c>
      <x:c r="F9" s="67" t="n">
        <x:f>'DCF ASSUMPTIONS'!E19</x:f>
        <x:v>0.133</x:v>
      </x:c>
      <x:c r="G9" s="67" t="n">
        <x:f>'DCF ASSUMPTIONS'!F19</x:f>
        <x:v>0.134</x:v>
      </x:c>
    </x:row>
    <x:row r="10" ht="23" customHeight="1">
      <x:c r="A10" s="63" t="str">
        <x:v>Operating income / EBIT ($m)</x:v>
      </x:c>
      <x:c r="B10" s="63" t="n">
        <x:f>'DCF ASSUMPTIONS'!B6</x:f>
        <x:v>20890</x:v>
      </x:c>
      <x:c r="C10" s="65" t="n">
        <x:f>C6*C9</x:f>
        <x:v>21881.43021</x:v>
      </x:c>
      <x:c r="D10" s="65" t="n">
        <x:f>D6*D9</x:f>
        <x:v>22756.6874184</x:v>
      </x:c>
      <x:c r="E10" s="65" t="n">
        <x:f>E6*E9</x:f>
        <x:v>23846.207591416318</x:v>
      </x:c>
      <x:c r="F10" s="65" t="n">
        <x:f>F6*F9</x:f>
        <x:v>24747.66649960698</x:v>
      </x:c>
      <x:c r="G10" s="65" t="n">
        <x:f>G6*G9</x:f>
        <x:v>25631.883877096698</x:v>
      </x:c>
    </x:row>
    <x:row r="11">
      <x:c r="A11" t="str">
        <x:v>Assumed cash tax rate</x:v>
      </x:c>
      <x:c r="B11" s="67" t="n">
        <x:f>'SOURCE DATA'!F14/'SOURCE DATA'!F13</x:f>
        <x:v>0.23900655843457694</x:v>
      </x:c>
      <x:c r="C11" s="67" t="n">
        <x:f>'DCF ASSUMPTIONS'!B20</x:f>
        <x:v>0.24</x:v>
      </x:c>
      <x:c r="D11" s="67" t="n">
        <x:f>'DCF ASSUMPTIONS'!C20</x:f>
        <x:v>0.24</x:v>
      </x:c>
      <x:c r="E11" s="67" t="n">
        <x:f>'DCF ASSUMPTIONS'!D20</x:f>
        <x:v>0.24</x:v>
      </x:c>
      <x:c r="F11" s="67" t="n">
        <x:f>'DCF ASSUMPTIONS'!E20</x:f>
        <x:v>0.24</x:v>
      </x:c>
      <x:c r="G11" s="67" t="n">
        <x:f>'DCF ASSUMPTIONS'!F20</x:f>
        <x:v>0.24</x:v>
      </x:c>
    </x:row>
    <x:row r="12">
      <x:c r="A12" t="str">
        <x:v>After-tax operating income (NOPAT)</x:v>
      </x:c>
      <x:c r="B12" t="n">
        <x:f>B10*(1-B11)</x:f>
        <x:v>15897.152994301687</x:v>
      </x:c>
      <x:c r="C12" s="66" t="n">
        <x:f>C10*(1-C11)</x:f>
        <x:v>16629.8869596</x:v>
      </x:c>
      <x:c r="D12" s="66" t="n">
        <x:f>D10*(1-D11)</x:f>
        <x:v>17295.082437984</x:v>
      </x:c>
      <x:c r="E12" s="66" t="n">
        <x:f>E10*(1-E11)</x:f>
        <x:v>18123.1177694764</x:v>
      </x:c>
      <x:c r="F12" s="66" t="n">
        <x:f>F10*(1-F11)</x:f>
        <x:v>18808.226539701307</x:v>
      </x:c>
      <x:c r="G12" s="66" t="n">
        <x:f>G10*(1-G11)</x:f>
        <x:v>19480.23174659349</x:v>
      </x:c>
    </x:row>
    <x:row r="13">
      <x:c r="C13" s="66"/>
      <x:c r="D13" s="66"/>
      <x:c r="E13" s="66"/>
      <x:c r="F13" s="66"/>
      <x:c r="G13" s="66"/>
    </x:row>
    <x:row r="14">
      <x:c r="A14" t="str">
        <x:v>D&amp;A ($m)</x:v>
      </x:c>
      <x:c r="B14" t="n">
        <x:f>'DCF ASSUMPTIONS'!B7</x:f>
        <x:v>4121</x:v>
      </x:c>
      <x:c r="C14" s="66" t="n">
        <x:f>C6*'DCF ASSUMPTIONS'!B21</x:f>
        <x:v>4240.58725</x:v>
      </x:c>
      <x:c r="D14" s="66" t="n">
        <x:f>D6*'DCF ASSUMPTIONS'!C21</x:f>
        <x:v>4376.286042</x:v>
      </x:c>
      <x:c r="E14" s="66" t="n">
        <x:f>E6*'DCF ASSUMPTIONS'!D21</x:f>
        <x:v>4516.327195344</x:v>
      </x:c>
      <x:c r="F14" s="66" t="n">
        <x:f>F6*'DCF ASSUMPTIONS'!E21</x:f>
        <x:v>4651.81701120432</x:v>
      </x:c>
      <x:c r="G14" s="66" t="n">
        <x:f>G6*'DCF ASSUMPTIONS'!F21</x:f>
        <x:v>4782.067887518041</x:v>
      </x:c>
    </x:row>
    <x:row r="15">
      <x:c r="A15" t="str">
        <x:v>Capital expenditure ($m)</x:v>
      </x:c>
      <x:c r="B15" t="n">
        <x:f>'DCF ASSUMPTIONS'!B8</x:f>
        <x:v>3679</x:v>
      </x:c>
      <x:c r="C15" s="66" t="n">
        <x:f>C6*'DCF ASSUMPTIONS'!B22</x:f>
        <x:v>3901.3402699999997</x:v>
      </x:c>
      <x:c r="D15" s="66" t="n">
        <x:f>D6*'DCF ASSUMPTIONS'!C22</x:f>
        <x:v>4026.18315864</x:v>
      </x:c>
      <x:c r="E15" s="66" t="n">
        <x:f>E6*'DCF ASSUMPTIONS'!D22</x:f>
        <x:v>4155.02101971648</x:v>
      </x:c>
      <x:c r="F15" s="66" t="n">
        <x:f>F6*'DCF ASSUMPTIONS'!E22</x:f>
        <x:v>4279.671650307974</x:v>
      </x:c>
      <x:c r="G15" s="66" t="n">
        <x:f>G6*'DCF ASSUMPTIONS'!F22</x:f>
        <x:v>4399.502456516597</x:v>
      </x:c>
    </x:row>
    <x:row r="16">
      <x:c r="A16" t="str">
        <x:v>Operating NWC (% of sales)</x:v>
      </x:c>
      <x:c r="B16" s="67" t="n">
        <x:f>B17/B6</x:f>
        <x:v>0.0693878542411785</x:v>
      </x:c>
      <x:c r="C16" s="67" t="n">
        <x:f>'DCF ASSUMPTIONS'!B23</x:f>
        <x:v>0.07</x:v>
      </x:c>
      <x:c r="D16" s="67" t="n">
        <x:f>'DCF ASSUMPTIONS'!C23</x:f>
        <x:v>0.07</x:v>
      </x:c>
      <x:c r="E16" s="67" t="n">
        <x:f>'DCF ASSUMPTIONS'!D23</x:f>
        <x:v>0.07</x:v>
      </x:c>
      <x:c r="F16" s="67" t="n">
        <x:f>'DCF ASSUMPTIONS'!E23</x:f>
        <x:v>0.07</x:v>
      </x:c>
      <x:c r="G16" s="67" t="n">
        <x:f>'DCF ASSUMPTIONS'!F23</x:f>
        <x:v>0.07</x:v>
      </x:c>
    </x:row>
    <x:row r="17">
      <x:c r="A17" t="str">
        <x:v>Operating NWC ($m)</x:v>
      </x:c>
      <x:c r="B17" t="n">
        <x:f>'DCF ASSUMPTIONS'!B9</x:f>
        <x:v>11427</x:v>
      </x:c>
      <x:c r="C17" s="66" t="n">
        <x:f>C6*C16</x:f>
        <x:v>11873.6443</x:v>
      </x:c>
      <x:c r="D17" s="66" t="n">
        <x:f>D6*D16</x:f>
        <x:v>12253.6009176</x:v>
      </x:c>
      <x:c r="E17" s="66" t="n">
        <x:f>E6*E16</x:f>
        <x:v>12645.7161469632</x:v>
      </x:c>
      <x:c r="F17" s="66" t="n">
        <x:f>F6*F16</x:f>
        <x:v>13025.087631372096</x:v>
      </x:c>
      <x:c r="G17" s="66" t="n">
        <x:f>G6*G16</x:f>
        <x:v>13389.790085050514</x:v>
      </x:c>
    </x:row>
    <x:row r="18">
      <x:c r="A18" t="str">
        <x:v>Change in operating NWC ($m)</x:v>
      </x:c>
      <x:c r="C18" s="66" t="n">
        <x:f>C17-B17</x:f>
        <x:v>446.64429999999993</x:v>
      </x:c>
      <x:c r="D18" s="66" t="n">
        <x:f>D17-C17</x:f>
        <x:v>379.95661760000075</x:v>
      </x:c>
      <x:c r="E18" s="66" t="n">
        <x:f>E17-D17</x:f>
        <x:v>392.1152293631985</x:v>
      </x:c>
      <x:c r="F18" s="66" t="n">
        <x:f>F17-E17</x:f>
        <x:v>379.37148440889723</x:v>
      </x:c>
      <x:c r="G18" s="66" t="n">
        <x:f>G17-F17</x:f>
        <x:v>364.70245367841744</x:v>
      </x:c>
    </x:row>
    <x:row r="19">
      <x:c r="C19" s="66"/>
      <x:c r="D19" s="66"/>
      <x:c r="E19" s="66"/>
      <x:c r="F19" s="66"/>
      <x:c r="G19" s="66"/>
    </x:row>
    <x:row r="20" ht="23" customHeight="1">
      <x:c r="A20" s="63" t="str">
        <x:v>FCFF ($m)</x:v>
      </x:c>
      <x:c r="B20" s="63"/>
      <x:c r="C20" s="65" t="n">
        <x:f>C12+C14-C15-C18</x:f>
        <x:v>16522.4896396</x:v>
      </x:c>
      <x:c r="D20" s="65" t="n">
        <x:f>D12+D14-D15-D18</x:f>
        <x:v>17265.228703744</x:v>
      </x:c>
      <x:c r="E20" s="65" t="n">
        <x:f>E12+E14-E15-E18</x:f>
        <x:v>18092.308715740728</x:v>
      </x:c>
      <x:c r="F20" s="65" t="n">
        <x:f>F12+F14-F15-F18</x:f>
        <x:v>18801.000416188755</x:v>
      </x:c>
      <x:c r="G20" s="65" t="n">
        <x:f>G12+G14-G15-G18</x:f>
        <x:v>19498.094723916518</x:v>
      </x:c>
    </x:row>
    <x:row r="21">
      <x:c r="A21" t="str">
        <x:v>Discount factor</x:v>
      </x:c>
      <x:c r="B21" s="68"/>
      <x:c r="C21" s="68" t="n">
        <x:f>1/(1+'DCF ASSUMPTIONS'!$B$27)^1</x:f>
        <x:v>0.9259259259259258</x:v>
      </x:c>
      <x:c r="D21" s="68" t="n">
        <x:f>1/(1+'DCF ASSUMPTIONS'!$B$27)^2</x:f>
        <x:v>0.8573388203017832</x:v>
      </x:c>
      <x:c r="E21" s="68" t="n">
        <x:f>1/(1+'DCF ASSUMPTIONS'!$B$27)^3</x:f>
        <x:v>0.7938322410201696</x:v>
      </x:c>
      <x:c r="F21" s="68" t="n">
        <x:f>1/(1+'DCF ASSUMPTIONS'!$B$27)^4</x:f>
        <x:v>0.7350298527964533</x:v>
      </x:c>
      <x:c r="G21" s="68" t="n">
        <x:f>1/(1+'DCF ASSUMPTIONS'!$B$27)^5</x:f>
        <x:v>0.680583197033753</x:v>
      </x:c>
    </x:row>
    <x:row r="22">
      <x:c r="A22" t="str">
        <x:v>Present value of FCFF ($m)</x:v>
      </x:c>
      <x:c r="C22" s="66" t="n">
        <x:f>C20*C21</x:f>
        <x:v>15298.601518148147</x:v>
      </x:c>
      <x:c r="D22" s="66" t="n">
        <x:f>D20*D21</x:f>
        <x:v>14802.150809108367</x:v>
      </x:c>
      <x:c r="E22" s="66" t="n">
        <x:f>E20*E21</x:f>
        <x:v>14362.257973045209</x:v>
      </x:c>
      <x:c r="F22" s="66" t="n">
        <x:f>F20*F21</x:f>
        <x:v>13819.296568337279</x:v>
      </x:c>
      <x:c r="G22" s="66" t="n">
        <x:f>G20*G21</x:f>
        <x:v>13270.075643270056</x:v>
      </x:c>
    </x:row>
    <x:row r="25" ht="21" customHeight="1">
      <x:c r="A25" s="58" t="str">
        <x:v>Valuation bridge (USD millions)</x:v>
      </x:c>
      <x:c r="B25" s="58" t="str">
        <x:v>Value</x:v>
      </x:c>
    </x:row>
    <x:row r="26">
      <x:c r="A26" t="str">
        <x:v>PV of forecast-period FCFF</x:v>
      </x:c>
      <x:c r="B26" t="n">
        <x:f>SUM(C22:G22)</x:f>
        <x:v>71552.38251190906</x:v>
      </x:c>
    </x:row>
    <x:row r="27">
      <x:c r="A27" t="str">
        <x:v>FY2030 FCFF</x:v>
      </x:c>
      <x:c r="B27" t="n">
        <x:f>G20</x:f>
        <x:v>19498.094723916518</x:v>
      </x:c>
    </x:row>
    <x:row r="28">
      <x:c r="A28" t="str">
        <x:v>Terminal growth rate</x:v>
      </x:c>
      <x:c r="B28" s="67" t="n">
        <x:f>'DCF ASSUMPTIONS'!B28</x:f>
        <x:v>0.025</x:v>
      </x:c>
    </x:row>
    <x:row r="29">
      <x:c r="A29" t="str">
        <x:v>Illustrative WACC</x:v>
      </x:c>
      <x:c r="B29" s="67" t="n">
        <x:f>'DCF ASSUMPTIONS'!B27</x:f>
        <x:v>0.08</x:v>
      </x:c>
    </x:row>
    <x:row r="30">
      <x:c r="A30" t="str">
        <x:v>Terminal value</x:v>
      </x:c>
      <x:c r="B30" t="n">
        <x:f>IF(B29&lt;=B28,NA(),B27*(1+B28)/(B29-B28))</x:f>
        <x:v>363373.5834911714</x:v>
      </x:c>
    </x:row>
    <x:row r="31">
      <x:c r="A31" t="str">
        <x:v>PV of terminal value</x:v>
      </x:c>
      <x:c r="B31" t="n">
        <x:f>B30*G21</x:f>
        <x:v>247305.95517003283</x:v>
      </x:c>
    </x:row>
    <x:row r="32" ht="23" customHeight="1">
      <x:c r="A32" s="63" t="str">
        <x:v>Enterprise value</x:v>
      </x:c>
      <x:c r="B32" s="63" t="n">
        <x:f>SUM(B26,B31)</x:f>
        <x:v>318858.3376819419</x:v>
      </x:c>
    </x:row>
    <x:row r="34">
      <x:c r="A34" t="str">
        <x:v>Short-term debt</x:v>
      </x:c>
      <x:c r="B34" t="n">
        <x:f>'DCF ASSUMPTIONS'!B10</x:f>
        <x:v>4464</x:v>
      </x:c>
    </x:row>
    <x:row r="35">
      <x:c r="A35" t="str">
        <x:v>Current long-term debt</x:v>
      </x:c>
      <x:c r="B35" t="n">
        <x:f>'DCF ASSUMPTIONS'!B11</x:f>
        <x:v>4967</x:v>
      </x:c>
    </x:row>
    <x:row r="36">
      <x:c r="A36" t="str">
        <x:v>Noncurrent long-term debt</x:v>
      </x:c>
      <x:c r="B36" t="n">
        <x:f>'DCF ASSUMPTIONS'!B12</x:f>
        <x:v>46341</x:v>
      </x:c>
    </x:row>
    <x:row r="37">
      <x:c r="A37" t="str">
        <x:v>Cash</x:v>
      </x:c>
      <x:c r="B37" t="n">
        <x:f>'DCF ASSUMPTIONS'!B13</x:f>
        <x:v>1389</x:v>
      </x:c>
    </x:row>
    <x:row r="38" ht="23" customHeight="1">
      <x:c r="A38" s="63" t="str">
        <x:v>Net financial debt</x:v>
      </x:c>
      <x:c r="B38" s="63" t="n">
        <x:f>SUM(B34:B36)-B37</x:f>
        <x:v>54383</x:v>
      </x:c>
    </x:row>
    <x:row r="39">
      <x:c r="A39" t="str">
        <x:v>Other non-operating adjustments</x:v>
      </x:c>
      <x:c r="B39" t="n">
        <x:f>0</x:f>
        <x:v>0</x:v>
      </x:c>
    </x:row>
    <x:row r="40" ht="23" customHeight="1">
      <x:c r="A40" s="63" t="str">
        <x:v>Illustrative equity value</x:v>
      </x:c>
      <x:c r="B40" s="63" t="n">
        <x:f>B32-B38+B39</x:f>
        <x:v>264475.3376819419</x:v>
      </x:c>
    </x:row>
    <x:row r="41">
      <x:c r="A41" t="str">
        <x:v>Year-end shares outstanding, millions</x:v>
      </x:c>
      <x:c r="B41" t="n">
        <x:f>'DCF ASSUMPTIONS'!B14</x:f>
        <x:v>996</x:v>
      </x:c>
    </x:row>
    <x:row r="42" ht="23" customHeight="1">
      <x:c r="A42" s="63" t="str">
        <x:v>Illustrative value per share ($)</x:v>
      </x:c>
      <x:c r="B42" s="64" t="n">
        <x:f>B40/B41</x:f>
        <x:v>265.5374876324718</x:v>
      </x:c>
    </x:row>
    <x:row r="43">
      <x:c r="A43" t="str">
        <x:v>Terminal value / enterprise value</x:v>
      </x:c>
      <x:c r="B43" s="67" t="n">
        <x:f>B31/B32</x:f>
        <x:v>0.7755982075548488</x:v>
      </x:c>
    </x:row>
    <x:row r="46" ht="27" customHeight="1">
      <x:c r="A46" s="69" t="str">
        <x:v>Simplification: operating leases and nonoperating adjustments are not separately modeled; explain limitations before publication.</x:v>
      </x:c>
      <x:c r="B46" s="69"/>
      <x:c r="C46" s="69"/>
      <x:c r="D46" s="69"/>
      <x:c r="E46" s="69"/>
      <x:c r="F46" s="69"/>
      <x:c r="G46" s="69"/>
    </x:row>
  </x:sheetData>
  <x:mergeCells>
    <x:mergeCell ref="A1:G2"/>
    <x:mergeCell ref="A46:G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56" t="str">
        <x:v>HOME DEPOT | DCF SENSITIVITY GRID</x:v>
      </x:c>
      <x:c r="B1" s="56"/>
      <x:c r="C1" s="56"/>
      <x:c r="D1" s="56"/>
      <x:c r="E1" s="56"/>
      <x:c r="F1" s="56"/>
      <x:c r="G1" s="56"/>
      <x:c r="H1" s="56"/>
    </x:row>
    <x:row r="2" ht="23" customHeight="1">
      <x:c r="A2" s="56"/>
      <x:c r="B2" s="56"/>
      <x:c r="C2" s="56"/>
      <x:c r="D2" s="56"/>
      <x:c r="E2" s="56"/>
      <x:c r="F2" s="56"/>
      <x:c r="G2" s="56"/>
      <x:c r="H2" s="56"/>
    </x:row>
    <x:row r="4" ht="21" customHeight="1">
      <x:c r="A4" s="58" t="str">
        <x:v>Value / share ($)</x:v>
      </x:c>
      <x:c r="B4" s="71" t="n">
        <x:v>0.015</x:v>
      </x:c>
      <x:c r="C4" s="71" t="n">
        <x:v>0.02</x:v>
      </x:c>
      <x:c r="D4" s="71" t="n">
        <x:v>0.025</x:v>
      </x:c>
      <x:c r="E4" s="71" t="n">
        <x:v>0.03</x:v>
      </x:c>
      <x:c r="F4" s="71" t="n">
        <x:v>0.035</x:v>
      </x:c>
    </x:row>
    <x:row r="5">
      <x:c r="A5" s="67" t="n">
        <x:v>0.065</x:v>
      </x:c>
      <x:c r="B5" s="72" t="n">
        <x:f>IF($A5&lt;=B$4,NA(),('DCF MODEL'!$C$20/(1+$A5)^1+'DCF MODEL'!$D$20/(1+$A5)^2+'DCF MODEL'!$E$20/(1+$A5)^3+'DCF MODEL'!$F$20/(1+$A5)^4+'DCF MODEL'!$G$20/(1+$A5)^5+'DCF MODEL'!$G$20*(1+B$4)/($A5-B$4)/(1+$A5)^5-'DCF MODEL'!$B$38)/'DCF MODEL'!$B$41)</x:f>
        <x:v>310.3129138315652</x:v>
      </x:c>
      <x:c r="C5" s="72" t="n">
        <x:f>IF($A5&lt;=C$4,NA(),('DCF MODEL'!$C$20/(1+$A5)^1+'DCF MODEL'!$D$20/(1+$A5)^2+'DCF MODEL'!$E$20/(1+$A5)^3+'DCF MODEL'!$F$20/(1+$A5)^4+'DCF MODEL'!$G$20/(1+$A5)^5+'DCF MODEL'!$G$20*(1+C$4)/($A5-C$4)/(1+$A5)^5-'DCF MODEL'!$B$38)/'DCF MODEL'!$B$41)</x:f>
        <x:v>344.12888718577034</x:v>
      </x:c>
      <x:c r="D5" s="72" t="n">
        <x:f>IF($A5&lt;=D$4,NA(),('DCF MODEL'!$C$20/(1+$A5)^1+'DCF MODEL'!$D$20/(1+$A5)^2+'DCF MODEL'!$E$20/(1+$A5)^3+'DCF MODEL'!$F$20/(1+$A5)^4+'DCF MODEL'!$G$20/(1+$A5)^5+'DCF MODEL'!$G$20*(1+D$4)/($A5-D$4)/(1+$A5)^5-'DCF MODEL'!$B$38)/'DCF MODEL'!$B$41)</x:f>
        <x:v>386.39885387852655</x:v>
      </x:c>
      <x:c r="E5" s="72" t="n">
        <x:f>IF($A5&lt;=E$4,NA(),('DCF MODEL'!$C$20/(1+$A5)^1+'DCF MODEL'!$D$20/(1+$A5)^2+'DCF MODEL'!$E$20/(1+$A5)^3+'DCF MODEL'!$F$20/(1+$A5)^4+'DCF MODEL'!$G$20/(1+$A5)^5+'DCF MODEL'!$G$20*(1+E$4)/($A5-E$4)/(1+$A5)^5-'DCF MODEL'!$B$38)/'DCF MODEL'!$B$41)</x:f>
        <x:v>440.7459539120705</x:v>
      </x:c>
      <x:c r="F5" s="72" t="n">
        <x:f>IF($A5&lt;=F$4,NA(),('DCF MODEL'!$C$20/(1+$A5)^1+'DCF MODEL'!$D$20/(1+$A5)^2+'DCF MODEL'!$E$20/(1+$A5)^3+'DCF MODEL'!$F$20/(1+$A5)^4+'DCF MODEL'!$G$20/(1+$A5)^5+'DCF MODEL'!$G$20*(1+F$4)/($A5-F$4)/(1+$A5)^5-'DCF MODEL'!$B$38)/'DCF MODEL'!$B$41)</x:f>
        <x:v>513.2087539567955</x:v>
      </x:c>
    </x:row>
    <x:row r="6">
      <x:c r="A6" s="67" t="n">
        <x:v>0.0725</x:v>
      </x:c>
      <x:c r="B6" s="72" t="n">
        <x:f>IF($A6&lt;=B$4,NA(),('DCF MODEL'!$C$20/(1+$A6)^1+'DCF MODEL'!$D$20/(1+$A6)^2+'DCF MODEL'!$E$20/(1+$A6)^3+'DCF MODEL'!$F$20/(1+$A6)^4+'DCF MODEL'!$G$20/(1+$A6)^5+'DCF MODEL'!$G$20*(1+B$4)/($A6-B$4)/(1+$A6)^5-'DCF MODEL'!$B$38)/'DCF MODEL'!$B$41)</x:f>
        <x:v>262.2491248621681</x:v>
      </x:c>
      <x:c r="C6" s="72" t="n">
        <x:f>IF($A6&lt;=C$4,NA(),('DCF MODEL'!$C$20/(1+$A6)^1+'DCF MODEL'!$D$20/(1+$A6)^2+'DCF MODEL'!$E$20/(1+$A6)^3+'DCF MODEL'!$F$20/(1+$A6)^4+'DCF MODEL'!$G$20/(1+$A6)^5+'DCF MODEL'!$G$20*(1+C$4)/($A6-C$4)/(1+$A6)^5-'DCF MODEL'!$B$38)/'DCF MODEL'!$B$41)</x:f>
        <x:v>286.7559183042012</x:v>
      </x:c>
      <x:c r="D6" s="72" t="n">
        <x:f>IF($A6&lt;=D$4,NA(),('DCF MODEL'!$C$20/(1+$A6)^1+'DCF MODEL'!$D$20/(1+$A6)^2+'DCF MODEL'!$E$20/(1+$A6)^3+'DCF MODEL'!$F$20/(1+$A6)^4+'DCF MODEL'!$G$20/(1+$A6)^5+'DCF MODEL'!$G$20*(1+D$4)/($A6-D$4)/(1+$A6)^5-'DCF MODEL'!$B$38)/'DCF MODEL'!$B$41)</x:f>
        <x:v>316.42203668139905</x:v>
      </x:c>
      <x:c r="E6" s="72" t="n">
        <x:f>IF($A6&lt;=E$4,NA(),('DCF MODEL'!$C$20/(1+$A6)^1+'DCF MODEL'!$D$20/(1+$A6)^2+'DCF MODEL'!$E$20/(1+$A6)^3+'DCF MODEL'!$F$20/(1+$A6)^4+'DCF MODEL'!$G$20/(1+$A6)^5+'DCF MODEL'!$G$20*(1+E$4)/($A6-E$4)/(1+$A6)^5-'DCF MODEL'!$B$38)/'DCF MODEL'!$B$41)</x:f>
        <x:v>353.0684182061731</x:v>
      </x:c>
      <x:c r="F6" s="72" t="n">
        <x:f>IF($A6&lt;=F$4,NA(),('DCF MODEL'!$C$20/(1+$A6)^1+'DCF MODEL'!$D$20/(1+$A6)^2+'DCF MODEL'!$E$20/(1+$A6)^3+'DCF MODEL'!$F$20/(1+$A6)^4+'DCF MODEL'!$G$20/(1+$A6)^5+'DCF MODEL'!$G$20*(1+F$4)/($A6-F$4)/(1+$A6)^5-'DCF MODEL'!$B$38)/'DCF MODEL'!$B$41)</x:f>
        <x:v>399.48716813755334</x:v>
      </x:c>
    </x:row>
    <x:row r="7">
      <x:c r="A7" s="67" t="n">
        <x:v>0.08</x:v>
      </x:c>
      <x:c r="B7" s="72" t="n">
        <x:f>IF($A7&lt;=B$4,NA(),('DCF MODEL'!$C$20/(1+$A7)^1+'DCF MODEL'!$D$20/(1+$A7)^2+'DCF MODEL'!$E$20/(1+$A7)^3+'DCF MODEL'!$F$20/(1+$A7)^4+'DCF MODEL'!$G$20/(1+$A7)^5+'DCF MODEL'!$G$20*(1+B$4)/($A7-B$4)/(1+$A7)^5-'DCF MODEL'!$B$38)/'DCF MODEL'!$B$41)</x:f>
        <x:v>225.2878690329502</x:v>
      </x:c>
      <x:c r="C7" s="72" t="n">
        <x:f>IF($A7&lt;=C$4,NA(),('DCF MODEL'!$C$20/(1+$A7)^1+'DCF MODEL'!$D$20/(1+$A7)^2+'DCF MODEL'!$E$20/(1+$A7)^3+'DCF MODEL'!$F$20/(1+$A7)^4+'DCF MODEL'!$G$20/(1+$A7)^5+'DCF MODEL'!$G$20*(1+C$4)/($A7-C$4)/(1+$A7)^5-'DCF MODEL'!$B$38)/'DCF MODEL'!$B$41)</x:f>
        <x:v>243.73561089106428</x:v>
      </x:c>
      <x:c r="D7" s="74" t="n">
        <x:f>IF($A7&lt;=D$4,NA(),('DCF MODEL'!$C$20/(1+$A7)^1+'DCF MODEL'!$D$20/(1+$A7)^2+'DCF MODEL'!$E$20/(1+$A7)^3+'DCF MODEL'!$F$20/(1+$A7)^4+'DCF MODEL'!$G$20/(1+$A7)^5+'DCF MODEL'!$G$20*(1+D$4)/($A7-D$4)/(1+$A7)^5-'DCF MODEL'!$B$38)/'DCF MODEL'!$B$41)</x:f>
        <x:v>265.5374876324718</x:v>
      </x:c>
      <x:c r="E7" s="72" t="n">
        <x:f>IF($A7&lt;=E$4,NA(),('DCF MODEL'!$C$20/(1+$A7)^1+'DCF MODEL'!$D$20/(1+$A7)^2+'DCF MODEL'!$E$20/(1+$A7)^3+'DCF MODEL'!$F$20/(1+$A7)^4+'DCF MODEL'!$G$20/(1+$A7)^5+'DCF MODEL'!$G$20*(1+E$4)/($A7-E$4)/(1+$A7)^5-'DCF MODEL'!$B$38)/'DCF MODEL'!$B$41)</x:f>
        <x:v>291.6997397221608</x:v>
      </x:c>
      <x:c r="F7" s="72" t="n">
        <x:f>IF($A7&lt;=F$4,NA(),('DCF MODEL'!$C$20/(1+$A7)^1+'DCF MODEL'!$D$20/(1+$A7)^2+'DCF MODEL'!$E$20/(1+$A7)^3+'DCF MODEL'!$F$20/(1+$A7)^4+'DCF MODEL'!$G$20/(1+$A7)^5+'DCF MODEL'!$G$20*(1+F$4)/($A7-F$4)/(1+$A7)^5-'DCF MODEL'!$B$38)/'DCF MODEL'!$B$41)</x:f>
        <x:v>323.67582560955856</x:v>
      </x:c>
    </x:row>
    <x:row r="8">
      <x:c r="A8" s="67" t="n">
        <x:v>0.0875</x:v>
      </x:c>
      <x:c r="B8" s="72" t="n">
        <x:f>IF($A8&lt;=B$4,NA(),('DCF MODEL'!$C$20/(1+$A8)^1+'DCF MODEL'!$D$20/(1+$A8)^2+'DCF MODEL'!$E$20/(1+$A8)^3+'DCF MODEL'!$F$20/(1+$A8)^4+'DCF MODEL'!$G$20/(1+$A8)^5+'DCF MODEL'!$G$20*(1+B$4)/($A8-B$4)/(1+$A8)^5-'DCF MODEL'!$B$38)/'DCF MODEL'!$B$41)</x:f>
        <x:v>195.98319179925835</x:v>
      </x:c>
      <x:c r="C8" s="72" t="n">
        <x:f>IF($A8&lt;=C$4,NA(),('DCF MODEL'!$C$20/(1+$A8)^1+'DCF MODEL'!$D$20/(1+$A8)^2+'DCF MODEL'!$E$20/(1+$A8)^3+'DCF MODEL'!$F$20/(1+$A8)^4+'DCF MODEL'!$G$20/(1+$A8)^5+'DCF MODEL'!$G$20*(1+C$4)/($A8-C$4)/(1+$A8)^5-'DCF MODEL'!$B$38)/'DCF MODEL'!$B$41)</x:f>
        <x:v>210.28345398095476</x:v>
      </x:c>
      <x:c r="D8" s="72" t="n">
        <x:f>IF($A8&lt;=D$4,NA(),('DCF MODEL'!$C$20/(1+$A8)^1+'DCF MODEL'!$D$20/(1+$A8)^2+'DCF MODEL'!$E$20/(1+$A8)^3+'DCF MODEL'!$F$20/(1+$A8)^4+'DCF MODEL'!$G$20/(1+$A8)^5+'DCF MODEL'!$G$20*(1+D$4)/($A8-D$4)/(1+$A8)^5-'DCF MODEL'!$B$38)/'DCF MODEL'!$B$41)</x:f>
        <x:v>226.87175811172253</x:v>
      </x:c>
      <x:c r="E8" s="72" t="n">
        <x:f>IF($A8&lt;=E$4,NA(),('DCF MODEL'!$C$20/(1+$A8)^1+'DCF MODEL'!$D$20/(1+$A8)^2+'DCF MODEL'!$E$20/(1+$A8)^3+'DCF MODEL'!$F$20/(1+$A8)^4+'DCF MODEL'!$G$20/(1+$A8)^5+'DCF MODEL'!$G$20*(1+E$4)/($A8-E$4)/(1+$A8)^5-'DCF MODEL'!$B$38)/'DCF MODEL'!$B$41)</x:f>
        <x:v>246.3449847000151</x:v>
      </x:c>
      <x:c r="F8" s="72" t="n">
        <x:f>IF($A8&lt;=F$4,NA(),('DCF MODEL'!$C$20/(1+$A8)^1+'DCF MODEL'!$D$20/(1+$A8)^2+'DCF MODEL'!$E$20/(1+$A8)^3+'DCF MODEL'!$F$20/(1+$A8)^4+'DCF MODEL'!$G$20/(1+$A8)^5+'DCF MODEL'!$G$20*(1+F$4)/($A8-F$4)/(1+$A8)^5-'DCF MODEL'!$B$38)/'DCF MODEL'!$B$41)</x:f>
        <x:v>269.5273973051253</x:v>
      </x:c>
    </x:row>
    <x:row r="9">
      <x:c r="A9" s="67" t="n">
        <x:v>0.095</x:v>
      </x:c>
      <x:c r="B9" s="72" t="n">
        <x:f>IF($A9&lt;=B$4,NA(),('DCF MODEL'!$C$20/(1+$A9)^1+'DCF MODEL'!$D$20/(1+$A9)^2+'DCF MODEL'!$E$20/(1+$A9)^3+'DCF MODEL'!$F$20/(1+$A9)^4+'DCF MODEL'!$G$20/(1+$A9)^5+'DCF MODEL'!$G$20*(1+B$4)/($A9-B$4)/(1+$A9)^5-'DCF MODEL'!$B$38)/'DCF MODEL'!$B$41)</x:f>
        <x:v>172.1813847321819</x:v>
      </x:c>
      <x:c r="C9" s="72" t="n">
        <x:f>IF($A9&lt;=C$4,NA(),('DCF MODEL'!$C$20/(1+$A9)^1+'DCF MODEL'!$D$20/(1+$A9)^2+'DCF MODEL'!$E$20/(1+$A9)^3+'DCF MODEL'!$F$20/(1+$A9)^4+'DCF MODEL'!$G$20/(1+$A9)^5+'DCF MODEL'!$G$20*(1+C$4)/($A9-C$4)/(1+$A9)^5-'DCF MODEL'!$B$38)/'DCF MODEL'!$B$41)</x:f>
        <x:v>183.5287520864869</x:v>
      </x:c>
      <x:c r="D9" s="72" t="n">
        <x:f>IF($A9&lt;=D$4,NA(),('DCF MODEL'!$C$20/(1+$A9)^1+'DCF MODEL'!$D$20/(1+$A9)^2+'DCF MODEL'!$E$20/(1+$A9)^3+'DCF MODEL'!$F$20/(1+$A9)^4+'DCF MODEL'!$G$20/(1+$A9)^5+'DCF MODEL'!$G$20*(1+D$4)/($A9-D$4)/(1+$A9)^5-'DCF MODEL'!$B$38)/'DCF MODEL'!$B$41)</x:f>
        <x:v>196.4971719199782</x:v>
      </x:c>
      <x:c r="E9" s="72" t="n">
        <x:f>IF($A9&lt;=E$4,NA(),('DCF MODEL'!$C$20/(1+$A9)^1+'DCF MODEL'!$D$20/(1+$A9)^2+'DCF MODEL'!$E$20/(1+$A9)^3+'DCF MODEL'!$F$20/(1+$A9)^4+'DCF MODEL'!$G$20/(1+$A9)^5+'DCF MODEL'!$G$20*(1+E$4)/($A9-E$4)/(1+$A9)^5-'DCF MODEL'!$B$38)/'DCF MODEL'!$B$41)</x:f>
        <x:v>211.4607332663145</x:v>
      </x:c>
      <x:c r="F9" s="72" t="n">
        <x:f>IF($A9&lt;=F$4,NA(),('DCF MODEL'!$C$20/(1+$A9)^1+'DCF MODEL'!$D$20/(1+$A9)^2+'DCF MODEL'!$E$20/(1+$A9)^3+'DCF MODEL'!$F$20/(1+$A9)^4+'DCF MODEL'!$G$20/(1+$A9)^5+'DCF MODEL'!$G$20*(1+F$4)/($A9-F$4)/(1+$A9)^5-'DCF MODEL'!$B$38)/'DCF MODEL'!$B$41)</x:f>
        <x:v>228.9182215037067</x:v>
      </x:c>
    </x:row>
    <x:row r="12" ht="28" customHeight="1">
      <x:c r="A12" s="75" t="str">
        <x:v>Column = terminal growth; row = WACC. Center 8.0% / 2.5% equals model base case.</x:v>
      </x:c>
      <x:c r="B12" s="75"/>
      <x:c r="C12" s="75"/>
      <x:c r="D12" s="75"/>
      <x:c r="E12" s="75"/>
      <x:c r="F12" s="75"/>
    </x:row>
    <x:row r="15">
      <x:c r="A15" t="str">
        <x:v>Test / interpretation</x:v>
      </x:c>
      <x:c r="B15" t="str">
        <x:v>Formula</x:v>
      </x:c>
    </x:row>
    <x:row r="16">
      <x:c r="A16" t="str">
        <x:v>Sensitivity center should equal DCF model</x:v>
      </x:c>
      <x:c r="B16" s="76" t="n">
        <x:f>D7-'DCF MODEL'!B42</x:f>
        <x:v>0</x:v>
      </x:c>
    </x:row>
    <x:row r="17">
      <x:c r="A17" t="str">
        <x:v>Terminal growth must be below WACC</x:v>
      </x:c>
      <x:c r="B17" t="str">
        <x:f>IF('DCF ASSUMPTIONS'!B28&lt;'DCF ASSUMPTIONS'!B27,"PASS","FAIL")</x:f>
        <x:v>PASS</x:v>
      </x:c>
    </x:row>
  </x:sheetData>
  <x:mergeCells>
    <x:mergeCell ref="A1:H2"/>
    <x:mergeCell ref="A12:F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56" t="str">
        <x:v>HOME DEPOT | DCF QUALITY CONTROL</x:v>
      </x:c>
      <x:c r="B1" s="56"/>
      <x:c r="C1" s="56"/>
      <x:c r="D1" s="56"/>
      <x:c r="E1" s="56"/>
      <x:c r="F1" s="56"/>
    </x:row>
    <x:row r="2" ht="23" customHeight="1">
      <x:c r="A2" s="56"/>
      <x:c r="B2" s="56"/>
      <x:c r="C2" s="56"/>
      <x:c r="D2" s="56"/>
      <x:c r="E2" s="56"/>
      <x:c r="F2" s="56"/>
    </x:row>
    <x:row r="4" ht="21" customHeight="1">
      <x:c r="A4" s="58" t="str">
        <x:v>Test</x:v>
      </x:c>
      <x:c r="B4" s="58" t="str">
        <x:v>Result</x:v>
      </x:c>
      <x:c r="C4" s="58" t="str">
        <x:v>Interpretation</x:v>
      </x:c>
    </x:row>
    <x:row r="5">
      <x:c r="A5" t="str">
        <x:v>Model WACC &gt; terminal growth</x:v>
      </x:c>
      <x:c r="B5" t="str">
        <x:f>IF('DCF ASSUMPTIONS'!B27&gt;'DCF ASSUMPTIONS'!B28,"PASS","FAIL")</x:f>
        <x:v>PASS</x:v>
      </x:c>
      <x:c r="C5" t="str">
        <x:v>Terminal Gordon growth method requires WACC &gt; g</x:v>
      </x:c>
    </x:row>
    <x:row r="6">
      <x:c r="A6" t="str">
        <x:v>Equity bridge debt</x:v>
      </x:c>
      <x:c r="B6" t="n">
        <x:f>'DCF MODEL'!B38-(SUM('DCF ASSUMPTIONS'!B10:B12)-'DCF ASSUMPTIONS'!B13)</x:f>
        <x:v>0</x:v>
      </x:c>
      <x:c r="C6" t="str">
        <x:v>Difference should equal zero</x:v>
      </x:c>
    </x:row>
    <x:row r="7">
      <x:c r="A7" t="str">
        <x:v>DCF valuation check</x:v>
      </x:c>
      <x:c r="B7" t="n">
        <x:f>'DCF MODEL'!B42-'SENSITIVITY'!D7</x:f>
        <x:v>0</x:v>
      </x:c>
      <x:c r="C7" t="str">
        <x:v>Difference should equal zero</x:v>
      </x:c>
    </x:row>
    <x:row r="8">
      <x:c r="A8" t="str">
        <x:v>Historical EBIT margin</x:v>
      </x:c>
      <x:c r="B8" t="n">
        <x:f>'DCF MODEL'!B9-'SOURCE DATA'!F11/'SOURCE DATA'!F6</x:f>
        <x:v>0</x:v>
      </x:c>
      <x:c r="C8" t="str">
        <x:v>Difference should equal zero</x:v>
      </x:c>
    </x:row>
    <x:row r="9">
      <x:c r="A9" t="str">
        <x:v>FY2025 D&amp;A cash flow</x:v>
      </x:c>
      <x:c r="B9" t="n">
        <x:f>'DCF MODEL'!B14-'SOURCE DATA'!F46</x:f>
        <x:v>0</x:v>
      </x:c>
      <x:c r="C9" t="str">
        <x:v>Difference should equal zero</x:v>
      </x:c>
    </x:row>
    <x:row r="10">
      <x:c r="A10" t="str">
        <x:v>FY2025 capex</x:v>
      </x:c>
      <x:c r="B10" t="n">
        <x:f>'DCF MODEL'!B15+ 'SOURCE DATA'!F36</x:f>
        <x:v>0</x:v>
      </x:c>
      <x:c r="C10" t="str">
        <x:v>Difference should equal zero</x:v>
      </x:c>
    </x:row>
    <x:row r="11">
      <x:c r="A11" t="str">
        <x:v>FY2025 year-end shares</x:v>
      </x:c>
      <x:c r="B11" t="n">
        <x:f>'DCF ASSUMPTIONS'!B14-996</x:f>
        <x:v>0</x:v>
      </x:c>
      <x:c r="C11" t="str">
        <x:v>Reference year-end 996m (SEC p.39), not EPS weighted average</x:v>
      </x:c>
    </x:row>
    <x:row r="12">
      <x:c r="A12" t="str">
        <x:v>Growth &lt; WACC</x:v>
      </x:c>
      <x:c r="B12" t="str">
        <x:f>IF('DCF ASSUMPTIONS'!B28&lt;'DCF ASSUMPTIONS'!B27,"PASS","FAIL")</x:f>
        <x:v>PASS</x:v>
      </x:c>
      <x:c r="C12" t="str">
        <x:v>Illustrative terminal value assumptions</x:v>
      </x:c>
    </x:row>
    <x:row r="15" ht="27" customHeight="1">
      <x:c r="A15" s="69" t="str">
        <x:v>Not audited. Arithmetic controls cannot prove the reliability of forecast assumptions or market valuation.</x:v>
      </x:c>
      <x:c r="B15" s="69"/>
      <x:c r="C15" s="69"/>
      <x:c r="D15" s="69"/>
      <x:c r="E15" s="69"/>
      <x:c r="F15" s="69"/>
    </x:row>
  </x:sheetData>
  <x:mergeCells>
    <x:mergeCell ref="A1:F2"/>
    <x:mergeCell ref="A15:F15"/>
  </x:mergeCells>
  <x:pageMargins left="0.7" right="0.7" top="0.75" bottom="0.75" header="0.3" footer="0.3"/>
</x:worksheet>
</file>